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AA622D32-9E9D-4F32-8BD0-7FAAFB64A763}" xr6:coauthVersionLast="47" xr6:coauthVersionMax="47" xr10:uidLastSave="{00000000-0000-0000-0000-000000000000}"/>
  <bookViews>
    <workbookView xWindow="0" yWindow="270" windowWidth="21600" windowHeight="11295"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receta!$A$1:$EW$170</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<sst xmlns="http://schemas.openxmlformats.org/spreadsheetml/2006/main" count="1459" uniqueCount="915">
  <si>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</si>
  <si>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</si>
  <si>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</si>
  <si>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</si>
  <si>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</si>
  <si>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</si>
  <si>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</si>
  <si>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</si>
  <si>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</si>
  <si>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</si>
  <si>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</si>
  <si>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</si>
  <si>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</si>
  <si>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</si>
  <si>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</si>
  <si>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</si>
  <si>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</si>
  <si>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</si>
  <si>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</si>
  <si>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</si>
  <si>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</si>
  <si>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</si>
  <si>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</si>
  <si>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</si>
  <si>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</si>
  <si>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</si>
  <si>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</si>
  <si>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</si>
  <si>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</si>
  <si>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</si>
  <si>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</si>
  <si>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</si>
  <si>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</si>
  <si>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</si>
  <si>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</si>
  <si>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</si>
  <si>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</si>
  <si>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</si>
  <si>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</si>
  <si>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</si>
  <si>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</si>
  <si>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</si>
  <si>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</si>
  <si>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</si>
  <si>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</si>
  <si>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</si>
  <si>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</si>
  <si>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</si>
  <si>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</si>
  <si>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</si>
  <si>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</si>
  <si>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</si>
  <si>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</si>
  <si>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</si>
  <si>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</si>
  <si>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</si>
  <si>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</si>
  <si>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</si>
  <si>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</si>
  <si>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</si>
  <si>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</si>
  <si>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</si>
  <si>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</si>
  <si>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</si>
  <si>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</si>
  <si>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</si>
  <si>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</si>
  <si>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</si>
  <si>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</si>
  <si>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</si>
  <si>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</si>
  <si>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</si>
  <si>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</si>
  <si>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</si>
  <si>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</si>
  <si>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</si>
  <si>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</si>
  <si>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</si>
  <si>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</si>
  <si>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</si>
  <si>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</si>
  <si>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</si>
  <si>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</si>
  <si>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</si>
  <si>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</si>
  <si>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</si>
  <si>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</si>
  <si>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</si>
  <si>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</si>
  <si>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</si>
  <si>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</si>
  <si>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</si>
  <si>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</si>
  <si>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</si>
  <si>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</si>
  <si>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</si>
  <si>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</si>
  <si>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</si>
  <si>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</si>
  <si>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</si>
  <si>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</si>
  <si>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</si>
  <si>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</si>
  <si>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</si>
  <si>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</si>
  <si>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</si>
  <si>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</si>
  <si>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</si>
  <si>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</si>
  <si>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</si>
  <si>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</si>
  <si>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</si>
  <si>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</si>
  <si>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</si>
  <si>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</si>
  <si>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</si>
  <si>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</si>
  <si>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</si>
  <si>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</si>
  <si>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</si>
  <si>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</si>
  <si>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</si>
  <si>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</si>
  <si>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</si>
  <si>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</si>
  <si>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</si>
  <si>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</si>
  <si>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</si>
  <si>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</si>
  <si>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</si>
  <si>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</si>
  <si>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</si>
  <si>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</si>
  <si>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</si>
  <si>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</si>
  <si>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</si>
  <si>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</si>
  <si>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</si>
  <si>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</si>
  <si>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</si>
  <si>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</si>
  <si>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</si>
  <si>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</si>
  <si>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</si>
  <si>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</si>
  <si>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</si>
  <si>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</si>
  <si>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</si>
  <si>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</si>
  <si>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</si>
  <si>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</si>
  <si>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</si>
  <si>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</si>
  <si>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</si>
  <si>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</si>
  <si>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</si>
  <si>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</si>
  <si>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</si>
  <si>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</si>
  <si>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</si>
  <si>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</si>
  <si>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</si>
  <si>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</si>
  <si>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</si>
  <si>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</si>
  <si>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</si>
  <si>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</si>
  <si>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</si>
  <si>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</si>
  <si>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</si>
  <si>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</si>
  <si>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</si>
  <si>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</si>
  <si>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</si>
  <si>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</si>
  <si>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</si>
  <si>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</si>
  <si>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</si>
  <si>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</si>
  <si>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</si>
  <si>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</si>
  <si>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</si>
  <si>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</si>
  <si>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</si>
  <si>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</si>
  <si>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</si>
  <si>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</si>
  <si>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</si>
  <si>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</si>
  <si>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</si>
  <si>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</si>
  <si>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</si>
  <si>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</si>
  <si>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</si>
  <si>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</si>
  <si>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</si>
  <si>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</si>
  <si>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</si>
  <si>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</si>
  <si>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</si>
  <si>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</si>
  <si>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</si>
  <si>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</si>
  <si>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</si>
  <si>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</si>
  <si>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</si>
  <si>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</si>
  <si>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</si>
  <si>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</si>
  <si>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</si>
  <si>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</si>
  <si>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</si>
  <si>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</si>
  <si>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</si>
  <si>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</si>
  <si>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</si>
  <si>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</si>
  <si>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</si>
  <si>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</si>
  <si>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</si>
  <si>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</si>
  <si>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</si>
  <si>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</si>
  <si>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</si>
  <si>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</si>
  <si>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</si>
  <si>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</si>
  <si>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</si>
  <si>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</si>
  <si>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</si>
  <si>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</si>
  <si>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</si>
  <si>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</si>
  <si>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</si>
  <si>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</si>
  <si>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</si>
  <si>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</si>
  <si>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</si>
  <si>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</si>
  <si>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</si>
  <si>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</si>
  <si>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</si>
  <si>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</si>
  <si>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</si>
  <si>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</si>
  <si>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</si>
  <si>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</si>
  <si>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</si>
  <si>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</si>
  <si>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</si>
  <si>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</si>
  <si>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</si>
  <si>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</si>
  <si>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</si>
  <si>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</si>
  <si>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</si>
  <si>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</si>
  <si>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</si>
  <si>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</si>
  <si>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</si>
  <si>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</si>
  <si>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</si>
  <si>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</si>
  <si>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</si>
  <si>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</si>
  <si>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</si>
  <si>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</si>
  <si>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</si>
  <si>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</si>
  <si>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</si>
  <si>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</si>
  <si>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</si>
  <si>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</si>
  <si>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</si>
  <si>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</si>
  <si>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</si>
  <si>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</si>
  <si>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</si>
  <si>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</si>
  <si>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</si>
  <si>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</si>
  <si>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</si>
  <si>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</si>
  <si>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</si>
  <si>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</si>
  <si>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</si>
  <si>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</si>
  <si>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</si>
  <si>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</si>
  <si>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</si>
  <si>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</si>
  <si>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</si>
  <si>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</si>
  <si>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</si>
  <si>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</si>
  <si>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</si>
  <si>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</si>
  <si>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</si>
  <si>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</si>
  <si>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</si>
  <si>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</si>
  <si>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</si>
  <si>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</si>
  <si>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</si>
  <si>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</si>
  <si>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</si>
  <si>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</si>
  <si>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</si>
  <si>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</si>
  <si>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</si>
  <si>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</si>
  <si>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</si>
  <si>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</si>
  <si>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</si>
  <si>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</si>
  <si>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</si>
  <si>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</si>
  <si>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</si>
  <si>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</si>
  <si>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</si>
  <si>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</si>
  <si>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</si>
  <si>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</si>
  <si>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</si>
  <si>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</si>
  <si>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</si>
  <si>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</si>
  <si>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</si>
  <si>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</si>
  <si>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</si>
  <si>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</si>
  <si>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</si>
  <si>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</si>
  <si>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</si>
  <si>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</si>
  <si>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</si>
  <si>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</si>
  <si>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</si>
  <si>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</si>
  <si>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</si>
  <si>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</si>
  <si>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</si>
  <si>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</si>
  <si>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</si>
  <si>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</si>
  <si>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</si>
  <si>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</si>
  <si>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</si>
  <si>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</si>
  <si>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</si>
  <si>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</si>
  <si>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</si>
  <si>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</si>
  <si>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</si>
  <si>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</si>
  <si>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</si>
  <si>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</si>
  <si>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</si>
  <si>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</si>
  <si>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</si>
  <si>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</si>
  <si>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</si>
  <si>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</si>
  <si>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</si>
  <si>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</si>
  <si>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</si>
  <si>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</si>
  <si>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</si>
  <si>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</si>
  <si>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</si>
  <si>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</si>
  <si>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</si>
  <si>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</si>
  <si>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</si>
  <si>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</si>
  <si>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</si>
  <si>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</si>
  <si>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</si>
  <si>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</si>
  <si>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</si>
  <si>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</si>
  <si>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</si>
  <si>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</si>
  <si>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</si>
  <si>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</si>
  <si>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</si>
  <si>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</si>
  <si>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</si>
  <si>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</si>
  <si>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</si>
  <si>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</si>
  <si>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</si>
  <si>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</si>
  <si>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</si>
  <si>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</si>
  <si>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</si>
  <si>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</si>
  <si>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</si>
  <si>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</si>
  <si>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</si>
  <si>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</si>
  <si>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</si>
  <si>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</si>
  <si>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</si>
  <si>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</si>
  <si>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</si>
  <si>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</si>
  <si>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</si>
  <si>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</si>
  <si>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</si>
  <si>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</si>
  <si>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</si>
  <si>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</si>
  <si>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</si>
  <si>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</si>
  <si>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</si>
  <si>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</si>
  <si>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</si>
  <si>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</si>
  <si>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</si>
  <si>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</si>
  <si>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</si>
  <si>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</si>
  <si>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</si>
  <si>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</si>
  <si>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</si>
  <si>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</si>
  <si>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</si>
  <si>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</si>
  <si>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</si>
  <si>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</si>
  <si>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</si>
  <si>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</si>
  <si>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</si>
  <si>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</si>
  <si>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</si>
  <si>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</si>
  <si>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</si>
  <si>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</si>
  <si>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</si>
  <si>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</si>
  <si>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</si>
  <si>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</si>
  <si>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</si>
  <si>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</si>
  <si>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</si>
  <si>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</si>
  <si>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</si>
  <si>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</si>
  <si>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</si>
  <si>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</si>
  <si>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</si>
  <si>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</si>
  <si>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</si>
  <si>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</si>
  <si>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</si>
  <si>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</si>
  <si>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</si>
  <si>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</si>
  <si>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</si>
  <si>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</si>
  <si>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</si>
  <si>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</si>
  <si>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</si>
  <si>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</si>
  <si>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</si>
  <si>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</si>
  <si>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</si>
  <si>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</si>
  <si>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</si>
  <si>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</si>
  <si>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</si>
  <si>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</si>
  <si>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</si>
  <si>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</si>
  <si>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</si>
  <si>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</si>
  <si>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</si>
  <si>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</si>
  <si>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</si>
  <si>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</si>
  <si>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</si>
  <si>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</si>
  <si>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</si>
  <si>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</si>
  <si>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</si>
  <si>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</si>
  <si>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</si>
  <si>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</si>
  <si>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</si>
  <si>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</si>
  <si>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</si>
  <si>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</si>
  <si>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</si>
  <si>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</si>
  <si>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</si>
  <si>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</si>
  <si>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</si>
  <si>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</si>
  <si>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</si>
  <si>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</si>
  <si>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</si>
  <si>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</si>
  <si>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</si>
  <si>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</si>
  <si>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</si>
  <si>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</si>
  <si>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</si>
  <si>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</si>
  <si>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</si>
  <si>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</si>
  <si>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</si>
  <si>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</si>
  <si>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</si>
  <si>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</si>
  <si>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</si>
  <si>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</si>
  <si>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</si>
  <si>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</si>
  <si>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</si>
  <si>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</si>
  <si>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</si>
  <si>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</si>
  <si>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</si>
  <si>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</si>
  <si>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</si>
  <si>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</si>
  <si>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</si>
  <si>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</si>
  <si>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</si>
  <si>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</si>
  <si>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</si>
  <si>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</si>
  <si>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</si>
  <si>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</si>
  <si>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</si>
  <si>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</si>
  <si>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</si>
  <si>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</si>
  <si>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</si>
  <si>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</si>
  <si>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</si>
  <si>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</si>
  <si>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</si>
  <si>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</si>
  <si>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</si>
  <si>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</si>
  <si>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</si>
  <si>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</si>
  <si>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</si>
  <si>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</si>
  <si>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</si>
  <si>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</si>
  <si>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</si>
  <si>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</si>
  <si>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</si>
  <si>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</si>
  <si>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</si>
  <si>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</si>
  <si>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</si>
  <si>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</si>
  <si>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</si>
  <si>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</si>
  <si>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</si>
  <si>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</si>
  <si>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</si>
  <si>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</si>
  <si>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</si>
  <si>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</si>
  <si>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</si>
  <si>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</si>
  <si>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</si>
  <si>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</si>
  <si>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</si>
  <si>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</si>
  <si>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</si>
  <si>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</si>
  <si>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</si>
  <si>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</si>
  <si>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</si>
  <si>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</si>
  <si>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</si>
  <si>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</si>
  <si>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</si>
  <si>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</si>
  <si>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</si>
  <si>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</si>
  <si>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</si>
  <si>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</si>
  <si>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</si>
  <si>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</si>
  <si>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</si>
  <si>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</si>
  <si>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</si>
  <si>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</si>
  <si>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</si>
  <si>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</si>
  <si>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</si>
  <si>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</si>
  <si>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</si>
  <si>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</si>
  <si>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</si>
  <si>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</si>
  <si>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</si>
  <si>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</si>
  <si>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</si>
  <si>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</si>
  <si>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</si>
  <si>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</si>
  <si>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</si>
  <si>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</si>
  <si>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</si>
  <si>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</si>
  <si>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</si>
  <si>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</si>
  <si>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</si>
  <si>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</si>
  <si>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</si>
  <si>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</si>
  <si>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</si>
  <si>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</si>
  <si>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</si>
  <si>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</si>
  <si>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</si>
  <si>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</si>
  <si>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</si>
  <si>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</si>
  <si>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</si>
  <si>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</si>
  <si>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</si>
  <si>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</si>
  <si>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</si>
  <si>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</si>
  <si>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</si>
  <si>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</si>
  <si>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</si>
  <si>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</si>
  <si>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</si>
  <si>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</si>
  <si>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</si>
  <si>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</si>
  <si>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</si>
  <si>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</si>
  <si>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</si>
  <si>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</si>
  <si>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</si>
  <si>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</si>
  <si>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</si>
  <si>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</si>
  <si>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</si>
  <si>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</si>
  <si>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</si>
  <si>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</si>
  <si>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</si>
  <si>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</si>
  <si>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</si>
  <si>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</si>
  <si>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</si>
  <si>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</si>
  <si>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</si>
  <si>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</si>
  <si>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</si>
  <si>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</si>
  <si>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</si>
  <si>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</si>
  <si>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</si>
  <si>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</si>
  <si>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</si>
  <si>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</si>
  <si>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</si>
  <si>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</si>
  <si>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</si>
  <si>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</si>
  <si>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</si>
  <si>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</si>
  <si>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</si>
  <si>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</si>
  <si>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</si>
  <si>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</si>
  <si>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</si>
  <si>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</si>
  <si>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</si>
  <si>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</si>
  <si>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</si>
  <si>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</si>
  <si>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</si>
  <si>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</si>
  <si>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</si>
  <si>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</si>
  <si>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</si>
  <si>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</si>
  <si>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</si>
  <si>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</si>
  <si>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</si>
  <si>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</si>
  <si>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</si>
  <si>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</si>
  <si>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</si>
  <si>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</si>
  <si>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</si>
  <si>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</si>
  <si>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</si>
  <si>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</si>
  <si>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</si>
  <si>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</si>
  <si>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</si>
  <si>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</si>
  <si>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</si>
  <si>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</si>
  <si>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</si>
  <si>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</si>
  <si>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</si>
  <si>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</si>
  <si>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</si>
  <si>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</si>
  <si>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</si>
  <si>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</si>
  <si>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</si>
  <si>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</si>
  <si>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</si>
  <si>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</si>
  <si>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</si>
  <si>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</si>
  <si>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</si>
  <si>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</si>
  <si>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</si>
  <si>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</si>
  <si>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</si>
  <si>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</si>
  <si>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</si>
  <si>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</si>
  <si>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</si>
  <si>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</si>
  <si>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</si>
  <si>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</si>
  <si>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</si>
  <si>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</si>
  <si>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</si>
  <si>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</si>
  <si>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</si>
  <si>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</si>
  <si>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</si>
  <si>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</si>
  <si>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</si>
  <si>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</si>
  <si>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</si>
  <si>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</si>
  <si>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</si>
  <si>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</si>
  <si>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</si>
  <si>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</si>
  <si>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</si>
  <si>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</si>
  <si>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</si>
  <si>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</si>
  <si>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</si>
  <si>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</si>
  <si>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</si>
  <si>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</si>
  <si>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</si>
  <si>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</si>
  <si>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</si>
  <si>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</si>
  <si>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</si>
  <si>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</si>
  <si>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</si>
  <si>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</si>
  <si>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</si>
  <si>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</si>
  <si>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</si>
  <si>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</si>
  <si>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</si>
  <si>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</si>
  <si>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</si>
  <si>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</si>
  <si>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</si>
  <si>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</si>
  <si>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</si>
  <si>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</si>
  <si>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</si>
  <si>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</si>
  <si>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</si>
  <si>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</si>
  <si>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</si>
  <si>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</si>
  <si>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</si>
  <si>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</si>
  <si>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</si>
  <si>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</si>
  <si>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</si>
  <si>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</si>
  <si>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</si>
  <si>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</si>
  <si>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</si>
  <si>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</si>
  <si>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</si>
  <si>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</si>
  <si>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</si>
  <si>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</si>
  <si>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</si>
  <si>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</si>
  <si>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</si>
  <si>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</si>
  <si>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</si>
  <si>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</si>
  <si>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</si>
  <si>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</si>
  <si>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</si>
  <si>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</si>
  <si>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</si>
  <si>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</si>
  <si>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</si>
  <si>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</si>
  <si>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</si>
  <si>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</si>
  <si>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</si>
  <si>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</si>
  <si>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</si>
  <si>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</si>
  <si>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</si>
  <si>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</si>
  <si>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</si>
  <si>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</si>
  <si>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</si>
  <si>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</si>
  <si>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</si>
  <si>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</si>
  <si>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</si>
  <si>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</si>
  <si>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</si>
  <si>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</si>
  <si>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</si>
  <si>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</si>
  <si>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</si>
  <si>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</si>
  <si>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</si>
  <si>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</si>
  <si>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</si>
  <si>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</si>
  <si>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</si>
  <si>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</si>
  <si>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</si>
  <si>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</si>
  <si>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</si>
  <si>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</si>
  <si>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</si>
  <si>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</si>
  <si>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</si>
  <si>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</si>
  <si>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</si>
  <si>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</si>
  <si>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</si>
  <si>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</si>
  <si>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</si>
  <si>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</si>
  <si>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</si>
  <si>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</si>
  <si>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</si>
  <si>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</si>
  <si>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</si>
  <si>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</si>
  <si>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</si>
  <si>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</si>
  <si>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</si>
  <si>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</si>
  <si>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</si>
  <si>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</si>
  <si>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</si>
  <si>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</si>
  <si>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</si>
  <si>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</si>
  <si>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</si>
  <si>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</si>
  <si>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</si>
  <si>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</si>
  <si>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</si>
  <si>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</si>
  <si>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</si>
  <si>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</si>
  <si>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</si>
  <si>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</si>
  <si>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</si>
  <si>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</si>
  <si>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</si>
  <si>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</si>
  <si>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</si>
  <si>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</si>
  <si>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</si>
  <si>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</si>
  <si>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</si>
  <si>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</si>
  <si>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</si>
  <si>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</si>
  <si>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</si>
  <si>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</si>
  <si>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</si>
  <si>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</si>
  <si>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</si>
  <si>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</si>
  <si>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</si>
  <si>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</si>
  <si>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</si>
  <si>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</si>
  <si>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</si>
  <si>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</si>
  <si>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</si>
  <si>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</si>
  <si>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Carmenere, la cepa olvidada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</si>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</sst>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topLeftCell="A160" workbookViewId="0">
      <pane xSplit="1" topLeftCell="B1" activePane="topRight" state="frozen"/>
      <selection pane="topRight" activeCell="B171" sqref="B171"/>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895</v>
      </c>
      <c r="P1" s="7" t="s">
        <v>697</v>
      </c>
      <c r="Q1" s="7" t="s">
        <v>79</v>
      </c>
      <c r="R1" s="7" t="s">
        <v>229</v>
      </c>
      <c r="S1" s="7" t="s">
        <v>265</v>
      </c>
      <c r="T1" s="7" t="s">
        <v>570</v>
      </c>
      <c r="U1" s="7" t="s">
        <v>873</v>
      </c>
      <c r="V1" s="7" t="s">
        <v>623</v>
      </c>
      <c r="W1" s="7" t="s">
        <v>80</v>
      </c>
      <c r="X1" s="7" t="s">
        <v>81</v>
      </c>
      <c r="Y1" s="7" t="s">
        <v>195</v>
      </c>
      <c r="Z1" s="7" t="s">
        <v>196</v>
      </c>
      <c r="AA1" s="7" t="s">
        <v>831</v>
      </c>
      <c r="AB1" s="7" t="s">
        <v>830</v>
      </c>
      <c r="AC1" s="7" t="s">
        <v>909</v>
      </c>
      <c r="AD1" s="7" t="s">
        <v>910</v>
      </c>
      <c r="AE1" s="7" t="s">
        <v>82</v>
      </c>
      <c r="AF1" s="7" t="s">
        <v>83</v>
      </c>
      <c r="AG1" s="7" t="s">
        <v>249</v>
      </c>
      <c r="AH1" s="7" t="s">
        <v>84</v>
      </c>
      <c r="AI1" s="7" t="s">
        <v>85</v>
      </c>
      <c r="AJ1" s="7" t="s">
        <v>233</v>
      </c>
      <c r="AK1" s="7" t="s">
        <v>86</v>
      </c>
      <c r="AL1" s="7" t="s">
        <v>87</v>
      </c>
      <c r="AM1" s="7" t="s">
        <v>554</v>
      </c>
      <c r="AN1" s="7" t="s">
        <v>223</v>
      </c>
      <c r="AO1" s="7" t="s">
        <v>88</v>
      </c>
      <c r="AP1" s="7" t="s">
        <v>263</v>
      </c>
      <c r="AQ1" s="7" t="s">
        <v>90</v>
      </c>
      <c r="AR1" s="7" t="s">
        <v>91</v>
      </c>
      <c r="AS1" s="7" t="s">
        <v>92</v>
      </c>
      <c r="AT1" s="7" t="s">
        <v>153</v>
      </c>
      <c r="AU1" s="7" t="s">
        <v>200</v>
      </c>
      <c r="AV1" s="7" t="s">
        <v>862</v>
      </c>
      <c r="AW1" s="7" t="s">
        <v>209</v>
      </c>
      <c r="AX1" s="7" t="s">
        <v>750</v>
      </c>
      <c r="AY1" s="7" t="s">
        <v>230</v>
      </c>
      <c r="AZ1" s="7" t="s">
        <v>93</v>
      </c>
      <c r="BA1" s="7" t="s">
        <v>261</v>
      </c>
      <c r="BB1" s="7" t="s">
        <v>301</v>
      </c>
      <c r="BC1" s="7" t="s">
        <v>94</v>
      </c>
      <c r="BD1" s="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802</v>
      </c>
      <c r="CC1" s="8" t="s">
        <v>823</v>
      </c>
      <c r="CD1" s="7" t="s">
        <v>280</v>
      </c>
      <c r="CE1" s="7" t="s">
        <v>579</v>
      </c>
      <c r="CF1" s="8" t="s">
        <v>198</v>
      </c>
      <c r="CG1" s="8" t="s">
        <v>121</v>
      </c>
      <c r="CH1" s="8" t="s">
        <v>115</v>
      </c>
      <c r="CI1" s="8" t="s">
        <v>116</v>
      </c>
      <c r="CJ1" s="8" t="s">
        <v>117</v>
      </c>
      <c r="CK1" s="8" t="s">
        <v>118</v>
      </c>
      <c r="CL1" s="8" t="s">
        <v>119</v>
      </c>
      <c r="CM1" s="8" t="s">
        <v>120</v>
      </c>
      <c r="CN1" s="8" t="s">
        <v>430</v>
      </c>
      <c r="CO1" s="8" t="s">
        <v>215</v>
      </c>
      <c r="CP1" s="8" t="s">
        <v>706</v>
      </c>
      <c r="CQ1" s="8" t="s">
        <v>519</v>
      </c>
      <c r="CR1" s="7" t="s">
        <v>95</v>
      </c>
      <c r="CS1" s="7" t="s">
        <v>96</v>
      </c>
      <c r="CT1" s="7" t="s">
        <v>97</v>
      </c>
      <c r="CU1" s="7" t="s">
        <v>530</v>
      </c>
      <c r="CV1" s="7" t="s">
        <v>387</v>
      </c>
      <c r="CW1" s="7" t="s">
        <v>98</v>
      </c>
      <c r="CX1" s="7" t="s">
        <v>490</v>
      </c>
      <c r="CY1" s="7" t="s">
        <v>99</v>
      </c>
      <c r="CZ1" s="8" t="s">
        <v>122</v>
      </c>
      <c r="DA1" s="7" t="s">
        <v>214</v>
      </c>
      <c r="DB1" s="7" t="s">
        <v>154</v>
      </c>
      <c r="DC1" s="8" t="s">
        <v>624</v>
      </c>
      <c r="DD1" s="18" t="s">
        <v>672</v>
      </c>
      <c r="DE1" s="18" t="s">
        <v>675</v>
      </c>
      <c r="DF1" s="18" t="s">
        <v>671</v>
      </c>
      <c r="DG1" s="18" t="s">
        <v>850</v>
      </c>
      <c r="DH1" s="18" t="s">
        <v>851</v>
      </c>
      <c r="DI1" s="15" t="s">
        <v>136</v>
      </c>
      <c r="DJ1" s="15" t="s">
        <v>135</v>
      </c>
      <c r="DK1" s="15" t="s">
        <v>677</v>
      </c>
      <c r="DL1" s="15" t="s">
        <v>572</v>
      </c>
      <c r="DM1" s="15" t="s">
        <v>573</v>
      </c>
      <c r="DN1" s="15" t="s">
        <v>704</v>
      </c>
      <c r="DO1" s="15" t="s">
        <v>685</v>
      </c>
      <c r="DP1" s="15" t="s">
        <v>610</v>
      </c>
      <c r="DQ1" s="15" t="s">
        <v>820</v>
      </c>
      <c r="DR1" s="15" t="s">
        <v>611</v>
      </c>
      <c r="DS1" s="15" t="s">
        <v>528</v>
      </c>
      <c r="DT1" s="15" t="s">
        <v>141</v>
      </c>
      <c r="DU1" s="15" t="s">
        <v>237</v>
      </c>
      <c r="DV1" s="15" t="s">
        <v>612</v>
      </c>
      <c r="DW1" s="15" t="s">
        <v>574</v>
      </c>
      <c r="DX1" s="15" t="s">
        <v>816</v>
      </c>
      <c r="DY1" s="15" t="s">
        <v>609</v>
      </c>
      <c r="DZ1" s="15" t="s">
        <v>571</v>
      </c>
      <c r="EA1" s="15" t="s">
        <v>560</v>
      </c>
      <c r="EB1" s="21" t="s">
        <v>563</v>
      </c>
      <c r="EC1" s="21" t="s">
        <v>853</v>
      </c>
      <c r="ED1" s="25" t="s">
        <v>818</v>
      </c>
      <c r="EE1" s="12" t="s">
        <v>852</v>
      </c>
      <c r="EF1" s="14" t="s">
        <v>614</v>
      </c>
      <c r="EG1" s="12" t="s">
        <v>234</v>
      </c>
      <c r="EH1" s="12" t="s">
        <v>822</v>
      </c>
      <c r="EI1" s="12" t="s">
        <v>286</v>
      </c>
      <c r="EJ1" s="16" t="s">
        <v>123</v>
      </c>
      <c r="EK1" s="17" t="s">
        <v>124</v>
      </c>
      <c r="EL1" s="17" t="s">
        <v>125</v>
      </c>
      <c r="EM1" s="17" t="s">
        <v>839</v>
      </c>
      <c r="EN1" s="17" t="s">
        <v>825</v>
      </c>
      <c r="EO1" s="17" t="s">
        <v>562</v>
      </c>
      <c r="EP1" s="19" t="s">
        <v>615</v>
      </c>
      <c r="EQ1" s="19" t="s">
        <v>625</v>
      </c>
      <c r="ER1" s="19" t="s">
        <v>126</v>
      </c>
      <c r="ES1" s="19" t="s">
        <v>127</v>
      </c>
      <c r="ET1" s="19" t="s">
        <v>128</v>
      </c>
      <c r="EU1" s="20" t="s">
        <v>231</v>
      </c>
      <c r="EV1" s="20" t="s">
        <v>854</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578</v>
      </c>
      <c r="B10" s="1" t="s">
        <v>51</v>
      </c>
      <c r="C10" s="2" t="s">
        <v>736</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556</v>
      </c>
      <c r="B12" s="1" t="s">
        <v>55</v>
      </c>
      <c r="C12" s="2" t="s">
        <v>736</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443</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680</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702</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703</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577</v>
      </c>
      <c r="B37" s="1" t="s">
        <v>53</v>
      </c>
      <c r="C37" s="2" t="s">
        <v>736</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510</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696</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533</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705</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721</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722</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619</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622</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684</v>
      </c>
      <c r="B91" s="1" t="s">
        <v>685</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720</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534</v>
      </c>
      <c r="B110" s="1" t="s">
        <v>53</v>
      </c>
      <c r="C110" s="2" t="s">
        <v>736</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582</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716</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690</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694</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758</v>
      </c>
      <c r="B151" s="1" t="s">
        <v>53</v>
      </c>
      <c r="C151" s="2" t="s">
        <v>736</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761</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765</v>
      </c>
      <c r="B153" s="1" t="s">
        <v>53</v>
      </c>
      <c r="C153" s="2" t="s">
        <v>736</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775</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801</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805</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809</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815</v>
      </c>
      <c r="B158" s="1" t="s">
        <v>278</v>
      </c>
      <c r="C158" s="2" t="s">
        <v>812</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821</v>
      </c>
      <c r="B159" s="1" t="s">
        <v>278</v>
      </c>
      <c r="C159" s="2" t="s">
        <v>812</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829</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838</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840</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856</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861</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872</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882</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899</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896</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900</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901</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908</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0"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719</v>
      </c>
      <c r="H1" s="8" t="s">
        <v>141</v>
      </c>
      <c r="I1" s="8" t="s">
        <v>574</v>
      </c>
      <c r="J1" s="8" t="s">
        <v>237</v>
      </c>
      <c r="K1" s="8" t="s">
        <v>133</v>
      </c>
      <c r="L1" s="8" t="s">
        <v>134</v>
      </c>
      <c r="M1" s="8" t="s">
        <v>283</v>
      </c>
      <c r="N1" s="7" t="s">
        <v>585</v>
      </c>
      <c r="O1" s="8" t="s">
        <v>883</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topLeftCell="H1" zoomScaleNormal="100" workbookViewId="0">
      <pane ySplit="1" topLeftCell="A2" activePane="bottomLeft" state="frozen"/>
      <selection pane="bottomLeft" activeCell="K2" sqref="K2"/>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626</v>
      </c>
      <c r="C1" s="7" t="s">
        <v>318</v>
      </c>
      <c r="D1" s="7" t="s">
        <v>155</v>
      </c>
      <c r="E1" s="7" t="s">
        <v>314</v>
      </c>
      <c r="F1" s="7" t="s">
        <v>315</v>
      </c>
      <c r="G1" s="7" t="s">
        <v>316</v>
      </c>
      <c r="H1" s="7" t="s">
        <v>317</v>
      </c>
      <c r="I1" s="7" t="s">
        <v>768</v>
      </c>
      <c r="J1" s="7" t="s">
        <v>769</v>
      </c>
      <c r="K1" s="7" t="s">
        <v>817</v>
      </c>
    </row>
    <row r="2" spans="1:11" ht="270" x14ac:dyDescent="0.25">
      <c r="A2" s="1" t="str">
        <f>IF(receta!A2="","",receta!A2)</f>
        <v>Agua de Valencia</v>
      </c>
      <c r="B2" s="1"/>
      <c r="C2" s="4" t="s">
        <v>362</v>
      </c>
      <c r="D2" s="4" t="s">
        <v>309</v>
      </c>
      <c r="E2" s="1" t="s">
        <v>292</v>
      </c>
      <c r="F2" s="1" t="s">
        <v>291</v>
      </c>
      <c r="G2" s="1"/>
      <c r="H2" s="1"/>
      <c r="I2" s="1"/>
      <c r="J2" s="1"/>
      <c r="K2" s="4" t="s">
        <v>914</v>
      </c>
    </row>
    <row r="3" spans="1:11" ht="409.5" x14ac:dyDescent="0.25">
      <c r="A3" s="1" t="str">
        <f>IF(receta!A3="","",receta!A3)</f>
        <v>Alejandra</v>
      </c>
      <c r="B3" s="4" t="s">
        <v>669</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670</v>
      </c>
      <c r="C5" s="4" t="s">
        <v>450</v>
      </c>
      <c r="D5" s="4" t="s">
        <v>555</v>
      </c>
      <c r="E5" s="4" t="s">
        <v>366</v>
      </c>
      <c r="F5" s="5" t="s">
        <v>365</v>
      </c>
      <c r="G5" s="1"/>
      <c r="H5" s="1"/>
      <c r="I5" s="4"/>
      <c r="J5" s="5"/>
      <c r="K5" s="1"/>
    </row>
    <row r="6" spans="1:11" ht="270" x14ac:dyDescent="0.25">
      <c r="A6" s="1" t="str">
        <f>IF(receta!A6="","",receta!A6)</f>
        <v>Amaretto Sour</v>
      </c>
      <c r="B6" s="4" t="s">
        <v>731</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628</v>
      </c>
      <c r="C10" s="4" t="s">
        <v>627</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674</v>
      </c>
      <c r="C12" s="4" t="s">
        <v>629</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135" x14ac:dyDescent="0.25">
      <c r="A21" s="1" t="str">
        <f>IF(receta!A21="","",receta!A21)</f>
        <v>Borgoña</v>
      </c>
      <c r="B21" s="4" t="s">
        <v>742</v>
      </c>
      <c r="C21" s="4" t="s">
        <v>701</v>
      </c>
      <c r="D21" s="4"/>
      <c r="E21" s="1"/>
      <c r="F21" s="1"/>
      <c r="G21" s="1" t="s">
        <v>456</v>
      </c>
      <c r="H21" s="1" t="s">
        <v>455</v>
      </c>
      <c r="I21" s="1"/>
      <c r="J21" s="1"/>
      <c r="K21" s="4"/>
    </row>
    <row r="22" spans="1:11" ht="375" x14ac:dyDescent="0.25">
      <c r="A22" s="1" t="str">
        <f>IF(receta!A22="","",receta!A22)</f>
        <v>Caipiriña</v>
      </c>
      <c r="B22" s="4" t="s">
        <v>630</v>
      </c>
      <c r="C22" s="4" t="s">
        <v>739</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699</v>
      </c>
      <c r="C27" s="4" t="s">
        <v>683</v>
      </c>
      <c r="D27" s="4" t="s">
        <v>681</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743</v>
      </c>
      <c r="C30" s="4" t="s">
        <v>673</v>
      </c>
      <c r="D30" s="1"/>
      <c r="E30" s="1"/>
      <c r="F30" s="1"/>
      <c r="G30" s="1"/>
      <c r="H30" s="1"/>
      <c r="I30" s="1"/>
      <c r="J30" s="1"/>
      <c r="K30" s="1"/>
    </row>
    <row r="31" spans="1:11" ht="409.5" x14ac:dyDescent="0.25">
      <c r="A31" s="1" t="str">
        <f>IF(receta!A31="","",receta!A31)</f>
        <v>Cléry Chirimoya</v>
      </c>
      <c r="B31" s="4" t="s">
        <v>744</v>
      </c>
      <c r="C31" s="4" t="s">
        <v>673</v>
      </c>
      <c r="D31" s="4" t="s">
        <v>427</v>
      </c>
      <c r="E31" s="1"/>
      <c r="F31" s="1"/>
      <c r="G31" s="1"/>
      <c r="H31" s="1"/>
      <c r="I31" s="1"/>
      <c r="J31" s="1"/>
      <c r="K31" s="1"/>
    </row>
    <row r="32" spans="1:11" ht="240" x14ac:dyDescent="0.25">
      <c r="A32" s="1" t="str">
        <f>IF(receta!A32="","",receta!A32)</f>
        <v>Cléry Durazno</v>
      </c>
      <c r="B32" s="4" t="s">
        <v>745</v>
      </c>
      <c r="C32" s="4" t="s">
        <v>673</v>
      </c>
      <c r="D32" s="1"/>
      <c r="E32" s="1" t="s">
        <v>335</v>
      </c>
      <c r="F32" s="5" t="s">
        <v>334</v>
      </c>
      <c r="G32" s="1"/>
      <c r="H32" s="1"/>
      <c r="I32" s="1"/>
      <c r="J32" s="5"/>
      <c r="K32" s="1"/>
    </row>
    <row r="33" spans="1:11" ht="409.5" x14ac:dyDescent="0.25">
      <c r="A33" s="1" t="str">
        <f>IF(receta!A33="","",receta!A33)</f>
        <v>Clover Club</v>
      </c>
      <c r="B33" s="4" t="s">
        <v>731</v>
      </c>
      <c r="C33" s="4" t="s">
        <v>847</v>
      </c>
      <c r="D33" s="4" t="s">
        <v>552</v>
      </c>
      <c r="E33" s="4" t="s">
        <v>553</v>
      </c>
      <c r="F33" s="1" t="s">
        <v>551</v>
      </c>
      <c r="G33" s="1"/>
      <c r="H33" s="1"/>
      <c r="I33" s="4"/>
      <c r="J33" s="1"/>
      <c r="K33" s="4" t="s">
        <v>888</v>
      </c>
    </row>
    <row r="34" spans="1:11" ht="255" x14ac:dyDescent="0.25">
      <c r="A34" s="1" t="str">
        <f>IF(receta!A34="","",receta!A34)</f>
        <v>Cordillera</v>
      </c>
      <c r="B34" s="1"/>
      <c r="C34" s="4" t="s">
        <v>668</v>
      </c>
      <c r="D34" s="4"/>
      <c r="E34" s="1" t="s">
        <v>244</v>
      </c>
      <c r="F34" s="5" t="s">
        <v>245</v>
      </c>
      <c r="G34" s="1"/>
      <c r="H34" s="1"/>
      <c r="I34" s="1"/>
      <c r="J34" s="5"/>
      <c r="K34" s="1"/>
    </row>
    <row r="35" spans="1:11" ht="45" x14ac:dyDescent="0.25">
      <c r="A35" s="1" t="str">
        <f>IF(receta!A35="","",receta!A35)</f>
        <v>Cosmo Patagonia</v>
      </c>
      <c r="B35" s="4" t="s">
        <v>737</v>
      </c>
      <c r="C35" s="4" t="s">
        <v>631</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633</v>
      </c>
      <c r="C37" s="4" t="s">
        <v>632</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731</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634</v>
      </c>
      <c r="C45" s="4" t="s">
        <v>700</v>
      </c>
      <c r="D45" s="4" t="s">
        <v>394</v>
      </c>
      <c r="E45" s="1"/>
      <c r="F45" s="1"/>
      <c r="G45" s="1"/>
      <c r="H45" s="1"/>
      <c r="I45" s="1"/>
      <c r="J45" s="1"/>
      <c r="K45" s="1"/>
    </row>
    <row r="46" spans="1:11" ht="285" x14ac:dyDescent="0.25">
      <c r="A46" s="1" t="str">
        <f>IF(receta!A46="","",receta!A46)</f>
        <v>El Amor en los Tiempos del Covid</v>
      </c>
      <c r="B46" s="4" t="s">
        <v>746</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635</v>
      </c>
      <c r="D49" s="4" t="s">
        <v>373</v>
      </c>
      <c r="E49" s="1" t="s">
        <v>773</v>
      </c>
      <c r="F49" s="5" t="s">
        <v>774</v>
      </c>
      <c r="G49" s="1"/>
      <c r="H49" s="1"/>
      <c r="I49" s="1"/>
      <c r="J49" s="1"/>
      <c r="K49" s="1"/>
    </row>
    <row r="50" spans="1:11" ht="255" x14ac:dyDescent="0.25">
      <c r="A50" s="1" t="str">
        <f>IF(receta!A50="","",receta!A50)</f>
        <v>Espiral</v>
      </c>
      <c r="B50" s="1"/>
      <c r="C50" s="4" t="s">
        <v>682</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686</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731</v>
      </c>
      <c r="C58" s="4" t="s">
        <v>338</v>
      </c>
      <c r="D58" s="1"/>
      <c r="E58" s="1"/>
      <c r="F58" s="1"/>
      <c r="G58" s="1"/>
      <c r="H58" s="1"/>
      <c r="I58" s="1"/>
      <c r="J58" s="1"/>
      <c r="K58" s="1"/>
    </row>
    <row r="59" spans="1:11" ht="409.5" x14ac:dyDescent="0.25">
      <c r="A59" s="1" t="str">
        <f>IF(receta!A59="","",receta!A59)</f>
        <v>French 75</v>
      </c>
      <c r="B59" s="4" t="s">
        <v>637</v>
      </c>
      <c r="C59" s="4" t="s">
        <v>636</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740</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770</v>
      </c>
      <c r="J63" s="5" t="s">
        <v>771</v>
      </c>
      <c r="K63" s="1"/>
    </row>
    <row r="64" spans="1:11" ht="60" x14ac:dyDescent="0.25">
      <c r="A64" s="1" t="str">
        <f>IF(receta!A64="","",receta!A64)</f>
        <v>Ginger Fire</v>
      </c>
      <c r="B64" s="1"/>
      <c r="C64" s="4" t="s">
        <v>698</v>
      </c>
      <c r="D64" s="1"/>
      <c r="E64" s="1"/>
      <c r="F64" s="1"/>
      <c r="G64" s="1"/>
      <c r="H64" s="1"/>
      <c r="I64" s="1"/>
      <c r="J64" s="1"/>
      <c r="K64" s="1"/>
    </row>
    <row r="65" spans="1:11" ht="409.5" x14ac:dyDescent="0.25">
      <c r="A65" s="1" t="str">
        <f>IF(receta!A65="","",receta!A65)</f>
        <v>Hemingway Daiquiri</v>
      </c>
      <c r="B65" s="1"/>
      <c r="C65" s="4" t="s">
        <v>638</v>
      </c>
      <c r="D65" s="4" t="s">
        <v>169</v>
      </c>
      <c r="E65" s="1"/>
      <c r="F65" s="1"/>
      <c r="G65" s="1"/>
      <c r="H65" s="5"/>
      <c r="I65" s="1"/>
      <c r="J65" s="1"/>
      <c r="K65" s="1"/>
    </row>
    <row r="66" spans="1:11" ht="375" x14ac:dyDescent="0.25">
      <c r="A66" s="1" t="str">
        <f>IF(receta!A66="","",receta!A66)</f>
        <v>Hugo</v>
      </c>
      <c r="B66" s="1"/>
      <c r="C66" s="4" t="s">
        <v>738</v>
      </c>
      <c r="D66" s="4" t="s">
        <v>751</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409.5" x14ac:dyDescent="0.25">
      <c r="A72" s="1" t="str">
        <f>IF(receta!A72="","",receta!A72)</f>
        <v>Jote</v>
      </c>
      <c r="B72" s="4" t="s">
        <v>640</v>
      </c>
      <c r="C72" s="4" t="s">
        <v>639</v>
      </c>
      <c r="D72" s="4" t="s">
        <v>876</v>
      </c>
      <c r="E72" s="1"/>
      <c r="F72" s="5"/>
      <c r="G72" s="1" t="s">
        <v>417</v>
      </c>
      <c r="H72" s="5" t="s">
        <v>393</v>
      </c>
      <c r="I72" s="1"/>
      <c r="J72" s="5"/>
      <c r="K72" s="4" t="s">
        <v>877</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710</v>
      </c>
      <c r="C74" s="4" t="s">
        <v>715</v>
      </c>
      <c r="D74" s="4" t="s">
        <v>713</v>
      </c>
      <c r="E74" s="1" t="s">
        <v>732</v>
      </c>
      <c r="F74" s="5" t="s">
        <v>733</v>
      </c>
      <c r="G74" s="1" t="s">
        <v>735</v>
      </c>
      <c r="H74" s="5" t="s">
        <v>734</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791</v>
      </c>
      <c r="F78" s="5" t="s">
        <v>790</v>
      </c>
      <c r="G78" s="1"/>
      <c r="H78" s="1"/>
      <c r="I78" s="1" t="s">
        <v>793</v>
      </c>
      <c r="J78" s="5" t="s">
        <v>792</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729</v>
      </c>
      <c r="D81" s="4"/>
      <c r="E81" s="1"/>
      <c r="F81" s="1"/>
      <c r="G81" s="1"/>
      <c r="H81" s="5"/>
      <c r="I81" s="1"/>
      <c r="J81" s="1"/>
      <c r="K81" s="1"/>
    </row>
    <row r="82" spans="1:11" ht="240" x14ac:dyDescent="0.25">
      <c r="A82" s="1" t="str">
        <f>IF(receta!A82="","",receta!A82)</f>
        <v>Mai Tai Piña</v>
      </c>
      <c r="B82" s="4" t="s">
        <v>724</v>
      </c>
      <c r="C82" s="4" t="s">
        <v>727</v>
      </c>
      <c r="D82" s="4"/>
      <c r="E82" s="1"/>
      <c r="F82" s="1"/>
      <c r="G82" s="1" t="s">
        <v>726</v>
      </c>
      <c r="H82" s="5" t="s">
        <v>728</v>
      </c>
      <c r="I82" s="1"/>
      <c r="J82" s="1"/>
      <c r="K82" s="1"/>
    </row>
    <row r="83" spans="1:11" ht="409.5" x14ac:dyDescent="0.25">
      <c r="A83" s="1" t="str">
        <f>IF(receta!A83="","",receta!A83)</f>
        <v>Mala Reputación</v>
      </c>
      <c r="B83" s="1"/>
      <c r="C83" s="4" t="s">
        <v>890</v>
      </c>
      <c r="D83" s="4" t="s">
        <v>304</v>
      </c>
      <c r="E83" s="1" t="s">
        <v>350</v>
      </c>
      <c r="F83" s="5" t="s">
        <v>349</v>
      </c>
      <c r="G83" s="1"/>
      <c r="H83" s="5"/>
      <c r="I83" s="1"/>
      <c r="J83" s="5"/>
      <c r="K83" s="4" t="s">
        <v>889</v>
      </c>
    </row>
    <row r="84" spans="1:11" ht="409.5" x14ac:dyDescent="0.25">
      <c r="A84" s="1" t="str">
        <f>IF(receta!A84="","",receta!A84)</f>
        <v>Malta con Huevo</v>
      </c>
      <c r="B84" s="4" t="s">
        <v>664</v>
      </c>
      <c r="C84" s="4" t="s">
        <v>665</v>
      </c>
      <c r="D84" s="4" t="s">
        <v>880</v>
      </c>
      <c r="E84" s="1"/>
      <c r="F84" s="1"/>
      <c r="G84" s="1" t="s">
        <v>621</v>
      </c>
      <c r="H84" s="1" t="s">
        <v>620</v>
      </c>
      <c r="I84" s="1"/>
      <c r="J84" s="1"/>
      <c r="K84" s="1"/>
    </row>
    <row r="85" spans="1:11" ht="240" x14ac:dyDescent="0.25">
      <c r="A85" s="1" t="str">
        <f>IF(receta!A85="","",receta!A85)</f>
        <v>Malta con Leche Condensada</v>
      </c>
      <c r="B85" s="4" t="s">
        <v>667</v>
      </c>
      <c r="C85" s="4" t="s">
        <v>666</v>
      </c>
      <c r="D85" s="4" t="s">
        <v>879</v>
      </c>
      <c r="E85" s="1"/>
      <c r="F85" s="1"/>
      <c r="G85" s="1" t="s">
        <v>621</v>
      </c>
      <c r="H85" s="1" t="s">
        <v>620</v>
      </c>
      <c r="I85" s="1"/>
      <c r="J85" s="1"/>
      <c r="K85" s="1"/>
    </row>
    <row r="86" spans="1:11" ht="30" x14ac:dyDescent="0.25">
      <c r="A86" s="1" t="str">
        <f>IF(receta!A86="","",receta!A86)</f>
        <v>Mango Sour</v>
      </c>
      <c r="B86" s="4" t="s">
        <v>676</v>
      </c>
      <c r="C86" s="4"/>
      <c r="D86" s="1"/>
      <c r="E86" s="1"/>
      <c r="F86" s="1"/>
      <c r="G86" s="1"/>
      <c r="H86" s="5"/>
      <c r="I86" s="1"/>
      <c r="J86" s="1"/>
      <c r="K86" s="1"/>
    </row>
    <row r="87" spans="1:11" ht="165" x14ac:dyDescent="0.25">
      <c r="A87" s="1" t="str">
        <f>IF(receta!A87="","",receta!A87)</f>
        <v>Manhattan</v>
      </c>
      <c r="B87" s="1"/>
      <c r="C87" s="4" t="s">
        <v>756</v>
      </c>
      <c r="D87" s="1"/>
      <c r="E87" s="1" t="s">
        <v>755</v>
      </c>
      <c r="F87" s="5" t="s">
        <v>754</v>
      </c>
      <c r="G87" s="1" t="s">
        <v>757</v>
      </c>
      <c r="H87" s="5" t="s">
        <v>374</v>
      </c>
      <c r="I87" s="1"/>
      <c r="J87" s="5"/>
      <c r="K87" s="1"/>
    </row>
    <row r="88" spans="1:11" ht="360" x14ac:dyDescent="0.25">
      <c r="A88" s="1" t="str">
        <f>IF(receta!A88="","",receta!A88)</f>
        <v>Maqui Sour</v>
      </c>
      <c r="B88" s="4" t="s">
        <v>747</v>
      </c>
      <c r="C88" s="4" t="s">
        <v>641</v>
      </c>
      <c r="D88" s="4" t="s">
        <v>598</v>
      </c>
      <c r="E88" s="1"/>
      <c r="F88" s="1"/>
      <c r="G88" s="1"/>
      <c r="H88" s="5"/>
      <c r="I88" s="1"/>
      <c r="J88" s="1"/>
      <c r="K88" s="1"/>
    </row>
    <row r="89" spans="1:11" ht="90" x14ac:dyDescent="0.25">
      <c r="A89" s="1" t="str">
        <f>IF(receta!A89="","",receta!A89)</f>
        <v>Margarita</v>
      </c>
      <c r="B89" s="4" t="s">
        <v>643</v>
      </c>
      <c r="C89" s="4" t="s">
        <v>642</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688</v>
      </c>
      <c r="C91" s="4" t="s">
        <v>687</v>
      </c>
      <c r="D91" s="1"/>
      <c r="E91" s="1" t="s">
        <v>335</v>
      </c>
      <c r="F91" s="5" t="s">
        <v>334</v>
      </c>
      <c r="G91" s="1"/>
      <c r="H91" s="1"/>
      <c r="I91" s="1"/>
      <c r="J91" s="5"/>
      <c r="K91" s="1"/>
    </row>
    <row r="92" spans="1:11" ht="375" x14ac:dyDescent="0.25">
      <c r="A92" s="1" t="str">
        <f>IF(receta!A92="","",receta!A92)</f>
        <v>Michelada</v>
      </c>
      <c r="B92" s="4" t="s">
        <v>848</v>
      </c>
      <c r="C92" s="4" t="s">
        <v>849</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645</v>
      </c>
      <c r="C95" s="4" t="s">
        <v>644</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730</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731</v>
      </c>
      <c r="C100" s="4" t="s">
        <v>372</v>
      </c>
      <c r="D100" s="4"/>
      <c r="E100" s="1" t="s">
        <v>341</v>
      </c>
      <c r="F100" s="5" t="s">
        <v>340</v>
      </c>
      <c r="G100" s="1"/>
      <c r="H100" s="1"/>
      <c r="I100" s="1"/>
      <c r="J100" s="5"/>
      <c r="K100" s="1"/>
    </row>
    <row r="101" spans="1:11" ht="195" x14ac:dyDescent="0.25">
      <c r="A101" s="1" t="str">
        <f>IF(receta!A101="","",receta!A101)</f>
        <v>Negativismo Lógico</v>
      </c>
      <c r="B101" s="1"/>
      <c r="C101" s="4" t="s">
        <v>741</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748</v>
      </c>
      <c r="C104" s="4" t="s">
        <v>646</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647</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649</v>
      </c>
      <c r="C108" s="4" t="s">
        <v>648</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679</v>
      </c>
      <c r="C110" s="4" t="s">
        <v>678</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651</v>
      </c>
      <c r="C117" s="4" t="s">
        <v>650</v>
      </c>
      <c r="D117" s="5"/>
      <c r="E117" s="1" t="s">
        <v>156</v>
      </c>
      <c r="F117" s="5" t="s">
        <v>419</v>
      </c>
      <c r="G117" s="1"/>
      <c r="H117" s="1"/>
      <c r="I117" s="1"/>
      <c r="J117" s="5"/>
      <c r="K117" s="1"/>
    </row>
    <row r="118" spans="1:11" ht="90" x14ac:dyDescent="0.25">
      <c r="A118" s="1" t="str">
        <f>IF(receta!A118="","",receta!A118)</f>
        <v>Pistón</v>
      </c>
      <c r="B118" s="4" t="s">
        <v>653</v>
      </c>
      <c r="C118" s="4" t="s">
        <v>652</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752</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654</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656</v>
      </c>
      <c r="C125" s="4" t="s">
        <v>655</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725</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657</v>
      </c>
      <c r="C135" s="4" t="s">
        <v>833</v>
      </c>
      <c r="D135" s="4"/>
      <c r="E135" s="1"/>
      <c r="F135" s="1"/>
      <c r="G135" s="1"/>
      <c r="H135" s="1"/>
      <c r="I135" s="1"/>
      <c r="J135" s="1"/>
      <c r="K135" s="1"/>
    </row>
    <row r="136" spans="1:11" ht="180" x14ac:dyDescent="0.25">
      <c r="A136" s="1" t="str">
        <f>IF(receta!A136="","",receta!A136)</f>
        <v>Terremoto (Sin Alcohol)</v>
      </c>
      <c r="B136" s="4" t="s">
        <v>659</v>
      </c>
      <c r="C136" s="4" t="s">
        <v>658</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764</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709</v>
      </c>
      <c r="C140" s="4" t="s">
        <v>708</v>
      </c>
      <c r="D140" s="4" t="s">
        <v>345</v>
      </c>
      <c r="E140" s="1" t="s">
        <v>421</v>
      </c>
      <c r="F140" s="5" t="s">
        <v>420</v>
      </c>
      <c r="G140" s="1"/>
      <c r="H140" s="1"/>
      <c r="I140" s="1"/>
      <c r="J140" s="5"/>
      <c r="K140" s="1"/>
    </row>
    <row r="141" spans="1:11" ht="409.5" x14ac:dyDescent="0.25">
      <c r="A141" s="1" t="str">
        <f>IF(receta!A141="","",receta!A141)</f>
        <v>Vaina</v>
      </c>
      <c r="B141" s="4" t="s">
        <v>749</v>
      </c>
      <c r="C141" s="4" t="s">
        <v>689</v>
      </c>
      <c r="D141" s="4" t="s">
        <v>912</v>
      </c>
      <c r="E141" s="4" t="s">
        <v>616</v>
      </c>
      <c r="F141" s="4" t="s">
        <v>617</v>
      </c>
      <c r="G141" s="1"/>
      <c r="H141" s="1"/>
      <c r="I141" s="4"/>
      <c r="J141" s="4"/>
      <c r="K141" s="1"/>
    </row>
    <row r="142" spans="1:11" ht="60" x14ac:dyDescent="0.25">
      <c r="A142" s="1" t="str">
        <f>IF(receta!A142="","",receta!A142)</f>
        <v>Valentín</v>
      </c>
      <c r="B142" s="1"/>
      <c r="C142" s="4" t="s">
        <v>660</v>
      </c>
      <c r="D142" s="4"/>
      <c r="E142" s="4" t="s">
        <v>247</v>
      </c>
      <c r="F142" s="5" t="s">
        <v>246</v>
      </c>
      <c r="G142" s="1"/>
      <c r="H142" s="1"/>
      <c r="I142" s="4"/>
      <c r="J142" s="5"/>
      <c r="K142" s="1"/>
    </row>
    <row r="143" spans="1:11" ht="409.5" x14ac:dyDescent="0.25">
      <c r="A143" s="1" t="str">
        <f>IF(receta!A143="","",receta!A143)</f>
        <v>Vampiro</v>
      </c>
      <c r="B143" s="4" t="s">
        <v>662</v>
      </c>
      <c r="C143" s="4" t="s">
        <v>661</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663</v>
      </c>
      <c r="C145" s="4" t="s">
        <v>753</v>
      </c>
      <c r="D145" s="4" t="s">
        <v>590</v>
      </c>
      <c r="E145" s="1" t="s">
        <v>550</v>
      </c>
      <c r="F145" s="1" t="s">
        <v>549</v>
      </c>
      <c r="G145" s="1"/>
      <c r="H145" s="1"/>
      <c r="I145" s="1"/>
      <c r="J145" s="1"/>
      <c r="K145" s="1"/>
    </row>
    <row r="146" spans="1:11" ht="120" x14ac:dyDescent="0.25">
      <c r="A146" s="1" t="str">
        <f>IF(receta!A146="","",receta!A146)</f>
        <v>Violetto Tonic</v>
      </c>
      <c r="B146" s="1"/>
      <c r="C146" s="4" t="s">
        <v>752</v>
      </c>
      <c r="D146" s="1"/>
      <c r="E146" s="1"/>
      <c r="F146" s="1"/>
      <c r="G146" s="1"/>
      <c r="H146" s="1"/>
      <c r="I146" s="1"/>
      <c r="J146" s="1"/>
      <c r="K146" s="1"/>
    </row>
    <row r="147" spans="1:11" ht="240" x14ac:dyDescent="0.25">
      <c r="A147" s="1" t="str">
        <f>IF(receta!A147="","",receta!A147)</f>
        <v>Vodka Cranberry</v>
      </c>
      <c r="B147" s="1"/>
      <c r="C147" s="4" t="s">
        <v>723</v>
      </c>
      <c r="D147" s="4"/>
      <c r="E147" s="1" t="s">
        <v>717</v>
      </c>
      <c r="F147" s="5" t="s">
        <v>718</v>
      </c>
      <c r="G147" s="1"/>
      <c r="H147" s="5"/>
      <c r="I147" s="1"/>
      <c r="J147" s="5"/>
      <c r="K147" s="1"/>
    </row>
    <row r="148" spans="1:11" ht="225" x14ac:dyDescent="0.25">
      <c r="A148" s="1" t="str">
        <f>IF(receta!A148="","",receta!A148)</f>
        <v>Whiscola</v>
      </c>
      <c r="B148" s="1"/>
      <c r="C148" s="4" t="s">
        <v>691</v>
      </c>
      <c r="D148" s="1"/>
      <c r="E148" s="1" t="s">
        <v>693</v>
      </c>
      <c r="F148" s="5" t="s">
        <v>692</v>
      </c>
      <c r="G148" s="1"/>
      <c r="H148" s="1"/>
      <c r="I148" s="1"/>
      <c r="J148" s="5"/>
      <c r="K148" s="1"/>
    </row>
    <row r="149" spans="1:11" ht="324" customHeight="1" x14ac:dyDescent="0.25">
      <c r="A149" s="1" t="str">
        <f>IF(receta!A149="","",receta!A149)</f>
        <v>Whiskey Highball</v>
      </c>
      <c r="B149" s="1"/>
      <c r="C149" s="4" t="s">
        <v>695</v>
      </c>
      <c r="D149" s="4" t="s">
        <v>714</v>
      </c>
      <c r="E149" s="1" t="s">
        <v>711</v>
      </c>
      <c r="F149" s="5" t="s">
        <v>712</v>
      </c>
      <c r="G149" s="1"/>
      <c r="H149" s="1"/>
      <c r="I149" s="1"/>
      <c r="J149" s="5"/>
      <c r="K149" s="1"/>
    </row>
    <row r="150" spans="1:11" ht="409.5" x14ac:dyDescent="0.25">
      <c r="A150" s="1" t="str">
        <f>IF(receta!A150="","",receta!A150)</f>
        <v>Whisky Sour</v>
      </c>
      <c r="B150" s="4" t="s">
        <v>731</v>
      </c>
      <c r="C150" s="4" t="s">
        <v>361</v>
      </c>
      <c r="D150" s="4" t="s">
        <v>356</v>
      </c>
      <c r="E150" s="1" t="s">
        <v>475</v>
      </c>
      <c r="F150" s="1" t="s">
        <v>474</v>
      </c>
      <c r="G150" s="1"/>
      <c r="H150" s="5"/>
      <c r="I150" s="1"/>
      <c r="J150" s="1"/>
      <c r="K150" s="1"/>
    </row>
    <row r="151" spans="1:11" ht="180" x14ac:dyDescent="0.25">
      <c r="A151" s="1" t="str">
        <f>IF(receta!A151="","",receta!A151)</f>
        <v>Bramble</v>
      </c>
      <c r="B151" s="4" t="s">
        <v>760</v>
      </c>
      <c r="C151" s="4" t="s">
        <v>759</v>
      </c>
      <c r="D151" s="4" t="s">
        <v>794</v>
      </c>
      <c r="E151" s="1" t="s">
        <v>796</v>
      </c>
      <c r="F151" s="1" t="s">
        <v>795</v>
      </c>
      <c r="G151" s="1"/>
      <c r="H151" s="5"/>
      <c r="I151" s="1"/>
      <c r="J151" s="1"/>
      <c r="K151" s="1"/>
    </row>
    <row r="152" spans="1:11" ht="180" x14ac:dyDescent="0.25">
      <c r="A152" s="1" t="str">
        <f>IF(receta!A152="","",receta!A152)</f>
        <v>Pantera Rosa</v>
      </c>
      <c r="B152" s="1"/>
      <c r="C152" s="4" t="s">
        <v>763</v>
      </c>
      <c r="D152" s="4"/>
      <c r="E152" s="1" t="s">
        <v>797</v>
      </c>
      <c r="F152" s="1" t="s">
        <v>762</v>
      </c>
      <c r="G152" s="1"/>
      <c r="H152" s="5"/>
      <c r="I152" s="1"/>
      <c r="J152" s="1"/>
      <c r="K152" s="1"/>
    </row>
    <row r="153" spans="1:11" ht="240" x14ac:dyDescent="0.25">
      <c r="A153" s="1" t="str">
        <f>IF(receta!A153="","",receta!A153)</f>
        <v>Gin Basil Smash</v>
      </c>
      <c r="B153" s="4" t="s">
        <v>767</v>
      </c>
      <c r="C153" s="4" t="s">
        <v>766</v>
      </c>
      <c r="D153" s="4" t="s">
        <v>800</v>
      </c>
      <c r="E153" s="4" t="s">
        <v>798</v>
      </c>
      <c r="F153" s="1" t="s">
        <v>799</v>
      </c>
      <c r="G153" s="1"/>
      <c r="H153" s="5"/>
      <c r="I153" s="1"/>
      <c r="J153" s="1"/>
      <c r="K153" s="1"/>
    </row>
    <row r="154" spans="1:11" ht="409.5" x14ac:dyDescent="0.25">
      <c r="A154" s="1" t="str">
        <f>IF(receta!A154="","",receta!A154)</f>
        <v>Vodka Tonic</v>
      </c>
      <c r="B154" s="1"/>
      <c r="C154" s="4" t="s">
        <v>789</v>
      </c>
      <c r="D154" s="26" t="s">
        <v>893</v>
      </c>
      <c r="E154" s="1" t="s">
        <v>787</v>
      </c>
      <c r="F154" s="5" t="s">
        <v>788</v>
      </c>
      <c r="G154" s="1"/>
      <c r="H154" s="5"/>
      <c r="I154" s="1" t="s">
        <v>777</v>
      </c>
      <c r="J154" s="5" t="s">
        <v>776</v>
      </c>
      <c r="K154" s="1"/>
    </row>
    <row r="155" spans="1:11" ht="240" x14ac:dyDescent="0.25">
      <c r="A155" s="1" t="str">
        <f>IF(receta!A155="","",receta!A155)</f>
        <v>Medias de Seda</v>
      </c>
      <c r="B155" s="4" t="s">
        <v>803</v>
      </c>
      <c r="C155" s="4" t="s">
        <v>804</v>
      </c>
      <c r="D155" s="4"/>
      <c r="E155" s="1"/>
      <c r="F155" s="1"/>
      <c r="G155" s="1"/>
      <c r="H155" s="5"/>
      <c r="I155" s="1"/>
      <c r="J155" s="1"/>
      <c r="K155" s="1"/>
    </row>
    <row r="156" spans="1:11" ht="255" x14ac:dyDescent="0.25">
      <c r="A156" s="1" t="str">
        <f>IF(receta!A156="","",receta!A156)</f>
        <v>Brandy Sour</v>
      </c>
      <c r="B156" s="4" t="s">
        <v>731</v>
      </c>
      <c r="C156" s="4" t="s">
        <v>806</v>
      </c>
      <c r="D156" s="4"/>
      <c r="E156" s="1" t="s">
        <v>808</v>
      </c>
      <c r="F156" s="5" t="s">
        <v>807</v>
      </c>
      <c r="G156" s="1"/>
      <c r="H156" s="5"/>
      <c r="I156" s="1"/>
      <c r="J156" s="1"/>
      <c r="K156" s="1"/>
    </row>
    <row r="157" spans="1:11" ht="409.5" x14ac:dyDescent="0.25">
      <c r="A157" s="1" t="str">
        <f>IF(receta!A157="","",receta!A157)</f>
        <v>Juanito Rosado</v>
      </c>
      <c r="B157" s="4" t="s">
        <v>811</v>
      </c>
      <c r="C157" s="4" t="s">
        <v>810</v>
      </c>
      <c r="D157" s="4" t="s">
        <v>436</v>
      </c>
      <c r="E157" s="1" t="s">
        <v>429</v>
      </c>
      <c r="F157" s="1" t="s">
        <v>428</v>
      </c>
      <c r="G157" s="1"/>
      <c r="H157" s="5"/>
      <c r="I157" s="1"/>
      <c r="J157" s="1"/>
      <c r="K157" s="4"/>
    </row>
    <row r="158" spans="1:11" ht="409.5" x14ac:dyDescent="0.25">
      <c r="A158" s="1" t="str">
        <f>IF(receta!A158="","",receta!A158)</f>
        <v>Vino Navegado</v>
      </c>
      <c r="B158" s="4" t="s">
        <v>881</v>
      </c>
      <c r="C158" s="4" t="s">
        <v>837</v>
      </c>
      <c r="D158" s="10"/>
      <c r="E158" s="1" t="s">
        <v>868</v>
      </c>
      <c r="F158" s="1" t="s">
        <v>867</v>
      </c>
      <c r="G158" s="1"/>
      <c r="H158" s="5"/>
      <c r="I158" s="1"/>
      <c r="J158" s="1"/>
      <c r="K158" s="10" t="s">
        <v>819</v>
      </c>
    </row>
    <row r="159" spans="1:11" ht="409.5" x14ac:dyDescent="0.25">
      <c r="A159" s="1" t="str">
        <f>IF(receta!A159="","",receta!A159)</f>
        <v>Cola de Mono</v>
      </c>
      <c r="B159" s="4" t="s">
        <v>855</v>
      </c>
      <c r="C159" s="4" t="s">
        <v>824</v>
      </c>
      <c r="D159" s="4" t="s">
        <v>828</v>
      </c>
      <c r="E159" s="1" t="s">
        <v>827</v>
      </c>
      <c r="F159" s="5" t="s">
        <v>826</v>
      </c>
      <c r="G159" s="1" t="s">
        <v>836</v>
      </c>
      <c r="H159" s="10" t="s">
        <v>835</v>
      </c>
      <c r="I159" s="1"/>
      <c r="J159" s="1"/>
      <c r="K159" s="1"/>
    </row>
    <row r="160" spans="1:11" ht="90" x14ac:dyDescent="0.25">
      <c r="A160" s="1" t="str">
        <f>IF(receta!A160="","",receta!A160)</f>
        <v>Chichón</v>
      </c>
      <c r="B160" s="4" t="s">
        <v>834</v>
      </c>
      <c r="C160" s="4" t="s">
        <v>832</v>
      </c>
      <c r="D160" s="4"/>
      <c r="E160" s="1"/>
      <c r="F160" s="1"/>
      <c r="G160" s="1"/>
      <c r="H160" s="5"/>
      <c r="I160" s="1"/>
      <c r="J160" s="1"/>
      <c r="K160" s="1"/>
    </row>
    <row r="161" spans="1:11" ht="195" x14ac:dyDescent="0.25">
      <c r="A161" s="1" t="str">
        <f>IF(receta!A161="","",receta!A161)</f>
        <v>Ramos Fizz</v>
      </c>
      <c r="B161" s="4" t="s">
        <v>845</v>
      </c>
      <c r="C161" s="4" t="s">
        <v>846</v>
      </c>
      <c r="D161" s="4"/>
      <c r="E161" s="1"/>
      <c r="F161" s="1"/>
      <c r="G161" s="1"/>
      <c r="H161" s="5"/>
      <c r="I161" s="1"/>
      <c r="J161" s="1"/>
      <c r="K161" s="1"/>
    </row>
    <row r="162" spans="1:11" ht="195" x14ac:dyDescent="0.25">
      <c r="A162" s="1" t="str">
        <f>IF(receta!A162="","",receta!A162)</f>
        <v>Gin Fizz</v>
      </c>
      <c r="B162" s="4" t="s">
        <v>841</v>
      </c>
      <c r="C162" s="4" t="s">
        <v>844</v>
      </c>
      <c r="D162" s="4"/>
      <c r="E162" s="1" t="s">
        <v>843</v>
      </c>
      <c r="F162" s="5" t="s">
        <v>842</v>
      </c>
      <c r="G162" s="5"/>
      <c r="H162" s="5"/>
      <c r="I162" s="1"/>
      <c r="J162" s="1"/>
      <c r="K162" s="1"/>
    </row>
    <row r="163" spans="1:11" ht="255" x14ac:dyDescent="0.25">
      <c r="A163" s="1" t="str">
        <f>IF(receta!A163="","",receta!A163)</f>
        <v>Carta Breve</v>
      </c>
      <c r="B163" s="1"/>
      <c r="C163" s="4" t="s">
        <v>858</v>
      </c>
      <c r="D163" s="4" t="s">
        <v>857</v>
      </c>
      <c r="E163" s="1" t="s">
        <v>860</v>
      </c>
      <c r="F163" s="5" t="s">
        <v>859</v>
      </c>
      <c r="G163" s="1"/>
      <c r="H163" s="5"/>
      <c r="I163" s="1"/>
      <c r="J163" s="1"/>
      <c r="K163" s="1"/>
    </row>
    <row r="164" spans="1:11" ht="409.5" x14ac:dyDescent="0.25">
      <c r="A164" s="1" t="str">
        <f>IF(receta!A164="","",receta!A164)</f>
        <v>Orgasmo</v>
      </c>
      <c r="B164" s="4"/>
      <c r="C164" s="4" t="s">
        <v>869</v>
      </c>
      <c r="D164" s="4" t="s">
        <v>866</v>
      </c>
      <c r="E164" s="1" t="s">
        <v>864</v>
      </c>
      <c r="F164" s="5" t="s">
        <v>863</v>
      </c>
      <c r="G164" s="1"/>
      <c r="H164" s="5"/>
      <c r="I164" s="1" t="s">
        <v>871</v>
      </c>
      <c r="J164" s="1" t="s">
        <v>870</v>
      </c>
      <c r="K164" s="4" t="s">
        <v>865</v>
      </c>
    </row>
    <row r="165" spans="1:11" ht="409.5" x14ac:dyDescent="0.25">
      <c r="A165" s="1" t="str">
        <f>IF(receta!A165="","",receta!A165)</f>
        <v>Pihuelo</v>
      </c>
      <c r="B165" s="4" t="s">
        <v>874</v>
      </c>
      <c r="C165" s="4" t="s">
        <v>875</v>
      </c>
      <c r="D165" s="4" t="s">
        <v>878</v>
      </c>
      <c r="E165" s="1"/>
      <c r="F165" s="1"/>
      <c r="G165" s="1"/>
      <c r="H165" s="5"/>
      <c r="I165" s="1"/>
      <c r="J165" s="1"/>
      <c r="K165" s="4"/>
    </row>
    <row r="166" spans="1:11" ht="409.5" x14ac:dyDescent="0.25">
      <c r="A166" s="1" t="str">
        <f>IF(receta!A166="","",receta!A166)</f>
        <v>Mojito Sandía</v>
      </c>
      <c r="B166" s="4" t="s">
        <v>886</v>
      </c>
      <c r="C166" s="4" t="s">
        <v>887</v>
      </c>
      <c r="D166" s="4" t="s">
        <v>891</v>
      </c>
      <c r="E166" s="1" t="s">
        <v>884</v>
      </c>
      <c r="F166" s="5" t="s">
        <v>885</v>
      </c>
      <c r="G166" s="1"/>
      <c r="H166" s="5"/>
      <c r="I166" s="1"/>
      <c r="J166" s="1"/>
      <c r="K166" s="4" t="s">
        <v>892</v>
      </c>
    </row>
    <row r="167" spans="1:11" ht="409.5" x14ac:dyDescent="0.25">
      <c r="A167" s="1" t="str">
        <f>IF(receta!A167="","",receta!A167)</f>
        <v>Boulevardier</v>
      </c>
      <c r="B167" s="1"/>
      <c r="C167" s="4" t="s">
        <v>897</v>
      </c>
      <c r="D167" s="4"/>
      <c r="E167" s="1"/>
      <c r="F167" s="1"/>
      <c r="G167" s="1"/>
      <c r="H167" s="5"/>
      <c r="I167" s="1"/>
      <c r="J167" s="1"/>
      <c r="K167" s="1"/>
    </row>
    <row r="168" spans="1:11" ht="180" x14ac:dyDescent="0.25">
      <c r="A168" s="1" t="str">
        <f>IF(receta!A168="","",receta!A168)</f>
        <v>Old Pal</v>
      </c>
      <c r="B168" s="1"/>
      <c r="C168" s="4" t="s">
        <v>898</v>
      </c>
      <c r="D168" s="4"/>
      <c r="E168" s="1"/>
      <c r="F168" s="1"/>
      <c r="G168" s="1"/>
      <c r="H168" s="5"/>
      <c r="I168" s="1"/>
      <c r="J168" s="1"/>
      <c r="K168" s="1"/>
    </row>
    <row r="169" spans="1:11" ht="120" x14ac:dyDescent="0.25">
      <c r="A169" s="1" t="str">
        <f>IF(receta!A169="","",receta!A169)</f>
        <v>Chardonnay Sour</v>
      </c>
      <c r="B169" s="4" t="s">
        <v>902</v>
      </c>
      <c r="C169" s="4" t="s">
        <v>904</v>
      </c>
      <c r="D169" s="4"/>
      <c r="E169" s="1"/>
      <c r="F169" s="1"/>
      <c r="G169" s="1"/>
      <c r="H169" s="5"/>
      <c r="I169" s="1"/>
      <c r="J169" s="1"/>
      <c r="K169" s="1"/>
    </row>
    <row r="170" spans="1:11" ht="409.5" x14ac:dyDescent="0.25">
      <c r="A170" s="1" t="str">
        <f>IF(receta!A170="","",receta!A170)</f>
        <v>Carmenere Sour</v>
      </c>
      <c r="B170" s="4" t="s">
        <v>903</v>
      </c>
      <c r="C170" s="4" t="s">
        <v>906</v>
      </c>
      <c r="D170" s="4" t="s">
        <v>907</v>
      </c>
      <c r="E170" s="1"/>
      <c r="F170" s="1"/>
      <c r="G170" s="1"/>
      <c r="H170" s="5"/>
      <c r="I170" s="1"/>
      <c r="J170" s="1"/>
      <c r="K170" s="4" t="s">
        <v>905</v>
      </c>
    </row>
    <row r="171" spans="1:11" ht="409.5" x14ac:dyDescent="0.25">
      <c r="A171" s="1" t="str">
        <f>IF(receta!A171="","",receta!A171)</f>
        <v>Jerez Sour</v>
      </c>
      <c r="B171" s="4" t="s">
        <v>903</v>
      </c>
      <c r="C171" s="4" t="s">
        <v>913</v>
      </c>
      <c r="D171" s="4" t="s">
        <v>894</v>
      </c>
      <c r="E171" s="1"/>
      <c r="F171" s="1"/>
      <c r="G171" s="1"/>
      <c r="H171" s="5"/>
      <c r="I171" s="1"/>
      <c r="J171" s="1"/>
      <c r="K171" s="4" t="s">
        <v>911</v>
      </c>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778</v>
      </c>
      <c r="C2" t="s">
        <v>580</v>
      </c>
    </row>
    <row r="3" spans="1:3" x14ac:dyDescent="0.25">
      <c r="A3" t="s">
        <v>67</v>
      </c>
      <c r="B3" t="s">
        <v>779</v>
      </c>
      <c r="C3" t="s">
        <v>202</v>
      </c>
    </row>
    <row r="4" spans="1:3" x14ac:dyDescent="0.25">
      <c r="A4" t="s">
        <v>68</v>
      </c>
      <c r="B4" t="s">
        <v>780</v>
      </c>
      <c r="C4" t="s">
        <v>618</v>
      </c>
    </row>
    <row r="5" spans="1:3" x14ac:dyDescent="0.25">
      <c r="A5" t="s">
        <v>63</v>
      </c>
      <c r="B5" t="s">
        <v>781</v>
      </c>
      <c r="C5" t="s">
        <v>203</v>
      </c>
    </row>
    <row r="6" spans="1:3" x14ac:dyDescent="0.25">
      <c r="A6" t="s">
        <v>69</v>
      </c>
      <c r="B6" t="s">
        <v>783</v>
      </c>
      <c r="C6" t="s">
        <v>785</v>
      </c>
    </row>
    <row r="7" spans="1:3" x14ac:dyDescent="0.25">
      <c r="A7" t="s">
        <v>70</v>
      </c>
      <c r="B7" t="s">
        <v>782</v>
      </c>
      <c r="C7" t="s">
        <v>71</v>
      </c>
    </row>
    <row r="8" spans="1:3" x14ac:dyDescent="0.25">
      <c r="A8" t="s">
        <v>736</v>
      </c>
      <c r="B8" t="s">
        <v>786</v>
      </c>
      <c r="C8" t="s">
        <v>784</v>
      </c>
    </row>
    <row r="9" spans="1:3" x14ac:dyDescent="0.25">
      <c r="A9" t="s">
        <v>812</v>
      </c>
      <c r="B9" t="s">
        <v>813</v>
      </c>
      <c r="C9" t="s">
        <v>814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772</v>
      </c>
    </row>
    <row r="10" spans="1:2" ht="90" x14ac:dyDescent="0.25">
      <c r="A10" s="23" t="s">
        <v>519</v>
      </c>
      <c r="B10" s="23" t="s">
        <v>527</v>
      </c>
    </row>
    <row r="11" spans="1:2" ht="90" x14ac:dyDescent="0.25">
      <c r="A11" s="23" t="s">
        <v>706</v>
      </c>
      <c r="B11" s="23" t="s">
        <v>707</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2026-02-05T15:27:06Z</dcterms:modified>
</cp:coreProperties>
</file>