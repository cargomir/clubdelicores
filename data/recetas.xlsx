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B3A6C55-1625-4973-9CD7-F2F8C9453FE4}"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<sst xmlns="http://schemas.openxmlformats.org/spreadsheetml/2006/main" count="1571" uniqueCount="1027">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</sst>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MYXpEs72fmc"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hyperlink" Target="https://www.youtube.com/watch?v=yaPEkSRf6Vg"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73"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uGb4uPqV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60" activePane="bottomLeft" state="frozen"/>
      <selection pane="bottomLeft" activeCell="C160" sqref="C16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971</v>
      </c>
      <c r="H1" s="7" t="s">
        <v>316</v>
      </c>
      <c r="I1" s="7" t="s">
        <v>317</v>
      </c>
      <c r="J1" s="7" t="s">
        <v>766</v>
      </c>
      <c r="K1" s="7" t="s">
        <v>767</v>
      </c>
      <c r="L1" s="7" t="s">
        <v>972</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975</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976</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978</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1"/>
    </row>
    <row r="16" spans="1:13" ht="60" x14ac:dyDescent="0.25">
      <c r="A16" s="1" t="str">
        <f>IF(receta!A16="","",receta!A16)</f>
        <v>Blanco de Verano</v>
      </c>
      <c r="B16" s="13"/>
      <c r="C16" s="1"/>
      <c r="D16" s="1"/>
      <c r="E16" s="1" t="s">
        <v>970</v>
      </c>
      <c r="F16" s="5" t="s">
        <v>969</v>
      </c>
      <c r="G16" s="4" t="s">
        <v>973</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979</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992</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981</v>
      </c>
    </row>
    <row r="26" spans="1:13" ht="409.5" x14ac:dyDescent="0.25">
      <c r="A26" s="1" t="str">
        <f>IF(receta!A26="","",receta!A26)</f>
        <v>Chuflay</v>
      </c>
      <c r="B26" s="1"/>
      <c r="C26" s="4" t="s">
        <v>492</v>
      </c>
      <c r="D26" s="4" t="s">
        <v>491</v>
      </c>
      <c r="E26" s="1"/>
      <c r="F26" s="1"/>
      <c r="G26" s="1"/>
      <c r="H26" s="4" t="s">
        <v>490</v>
      </c>
      <c r="I26" s="1" t="s">
        <v>489</v>
      </c>
      <c r="J26" s="1"/>
      <c r="K26" s="1"/>
      <c r="L26" s="1"/>
      <c r="M26" s="4" t="s">
        <v>998</v>
      </c>
    </row>
    <row r="27" spans="1:13" ht="375" x14ac:dyDescent="0.25">
      <c r="A27" s="1" t="str">
        <f>IF(receta!A27="","",receta!A27)</f>
        <v>Chupilca</v>
      </c>
      <c r="B27" s="4" t="s">
        <v>697</v>
      </c>
      <c r="C27" s="4" t="s">
        <v>681</v>
      </c>
      <c r="D27" s="4" t="s">
        <v>679</v>
      </c>
      <c r="E27" s="1"/>
      <c r="F27" s="1"/>
      <c r="G27" s="1"/>
      <c r="H27" s="1"/>
      <c r="I27" s="1"/>
      <c r="J27" s="1"/>
      <c r="K27" s="1"/>
      <c r="L27" s="1"/>
      <c r="M27" s="4" t="s">
        <v>982</v>
      </c>
    </row>
    <row r="28" spans="1:13" ht="409.5" x14ac:dyDescent="0.25">
      <c r="A28" s="1" t="str">
        <f>IF(receta!A28="","",receta!A28)</f>
        <v>Cimarrón</v>
      </c>
      <c r="B28" s="1"/>
      <c r="C28" s="4" t="s">
        <v>459</v>
      </c>
      <c r="D28" s="4"/>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1008</v>
      </c>
      <c r="F31" s="5" t="s">
        <v>1005</v>
      </c>
      <c r="G31" s="4" t="s">
        <v>1006</v>
      </c>
      <c r="H31" s="1"/>
      <c r="I31" s="1"/>
      <c r="J31" s="1"/>
      <c r="K31" s="1"/>
      <c r="L31" s="1"/>
      <c r="M31" s="4" t="s">
        <v>983</v>
      </c>
    </row>
    <row r="32" spans="1:13" ht="240"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984</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995</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1"/>
    </row>
    <row r="46" spans="1:13" ht="285" x14ac:dyDescent="0.25">
      <c r="A46" s="1" t="str">
        <f>IF(receta!A46="","",receta!A46)</f>
        <v>El Amor en los Tiempos del Covid</v>
      </c>
      <c r="B46" s="4" t="s">
        <v>744</v>
      </c>
      <c r="C46" s="4"/>
      <c r="D46" s="4" t="s">
        <v>993</v>
      </c>
      <c r="E46" s="4" t="s">
        <v>185</v>
      </c>
      <c r="F46" s="5" t="s">
        <v>184</v>
      </c>
      <c r="G46" s="5"/>
      <c r="H46" s="1"/>
      <c r="I46" s="1"/>
      <c r="J46" s="4"/>
      <c r="K46" s="5"/>
      <c r="L46" s="5"/>
      <c r="M46" s="4" t="s">
        <v>992</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986</v>
      </c>
      <c r="H49" s="1"/>
      <c r="I49" s="1"/>
      <c r="J49" s="1"/>
      <c r="K49" s="1"/>
      <c r="L49" s="1"/>
      <c r="M49" s="4" t="s">
        <v>1010</v>
      </c>
    </row>
    <row r="50" spans="1:13" ht="255" x14ac:dyDescent="0.25">
      <c r="A50" s="1" t="str">
        <f>IF(receta!A50="","",receta!A50)</f>
        <v>Espiral</v>
      </c>
      <c r="B50" s="1"/>
      <c r="C50" s="4" t="s">
        <v>680</v>
      </c>
      <c r="D50" s="4"/>
      <c r="E50" s="4" t="s">
        <v>482</v>
      </c>
      <c r="F50" s="5" t="s">
        <v>483</v>
      </c>
      <c r="G50" s="4" t="s">
        <v>985</v>
      </c>
      <c r="H50" s="1" t="s">
        <v>326</v>
      </c>
      <c r="I50" s="5" t="s">
        <v>287</v>
      </c>
      <c r="J50" s="4"/>
      <c r="K50" s="5"/>
      <c r="L50" s="5"/>
      <c r="M50" s="4" t="s">
        <v>965</v>
      </c>
    </row>
    <row r="51" spans="1:13" ht="90"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1009</v>
      </c>
      <c r="H53" s="1" t="s">
        <v>385</v>
      </c>
      <c r="I53" s="1" t="s">
        <v>384</v>
      </c>
      <c r="J53" s="1"/>
      <c r="K53" s="1"/>
      <c r="L53" s="1"/>
      <c r="M53" s="4" t="s">
        <v>999</v>
      </c>
    </row>
    <row r="54" spans="1:13" ht="120" x14ac:dyDescent="0.25">
      <c r="A54" s="1" t="str">
        <f>IF(receta!A54="","",receta!A54)</f>
        <v>Faro</v>
      </c>
      <c r="B54" s="1"/>
      <c r="C54" s="4" t="s">
        <v>684</v>
      </c>
      <c r="D54" s="4"/>
      <c r="E54" s="1"/>
      <c r="F54" s="5"/>
      <c r="G54" s="5"/>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987</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1"/>
      <c r="I60" s="1"/>
      <c r="J60" s="1"/>
      <c r="K60" s="1"/>
      <c r="L60" s="1"/>
      <c r="M60" s="4" t="s">
        <v>988</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997</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974</v>
      </c>
      <c r="M63" s="4" t="s">
        <v>933</v>
      </c>
    </row>
    <row r="64" spans="1:13" ht="135" x14ac:dyDescent="0.25">
      <c r="A64" s="1" t="str">
        <f>IF(receta!A64="","",receta!A64)</f>
        <v>Ginger Fire</v>
      </c>
      <c r="B64" s="1"/>
      <c r="C64" s="4" t="s">
        <v>696</v>
      </c>
      <c r="D64" s="1"/>
      <c r="E64" s="1"/>
      <c r="F64" s="1"/>
      <c r="G64" s="1"/>
      <c r="H64" s="1"/>
      <c r="I64" s="1"/>
      <c r="J64" s="1"/>
      <c r="K64" s="1"/>
      <c r="L64" s="1"/>
      <c r="M64" s="4" t="s">
        <v>996</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5" x14ac:dyDescent="0.25">
      <c r="A77" s="1" t="str">
        <f>IF(receta!A77="","",receta!A77)</f>
        <v>Laguna Azul</v>
      </c>
      <c r="B77" s="1"/>
      <c r="C77" s="4" t="s">
        <v>1020</v>
      </c>
      <c r="D77" s="4" t="s">
        <v>1021</v>
      </c>
      <c r="E77" s="1"/>
      <c r="F77" s="1"/>
      <c r="G77" s="1"/>
      <c r="H77" s="1"/>
      <c r="I77" s="1"/>
      <c r="J77" s="1"/>
      <c r="K77" s="1"/>
      <c r="L77" s="1"/>
      <c r="M77" s="4" t="s">
        <v>1019</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990</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991</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50" x14ac:dyDescent="0.25">
      <c r="A93" s="1" t="str">
        <f>IF(receta!A93="","",receta!A93)</f>
        <v>Milano Torino</v>
      </c>
      <c r="B93" s="1"/>
      <c r="C93" s="4" t="s">
        <v>539</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1002</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1000</v>
      </c>
      <c r="E97" s="1" t="s">
        <v>1004</v>
      </c>
      <c r="F97" s="5" t="s">
        <v>1003</v>
      </c>
      <c r="G97" s="1"/>
      <c r="H97" s="4"/>
      <c r="I97" s="1"/>
      <c r="J97" s="1"/>
      <c r="K97" s="1"/>
      <c r="L97" s="1"/>
      <c r="M97" s="4" t="s">
        <v>1001</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977</v>
      </c>
    </row>
    <row r="103" spans="1:13" ht="150" x14ac:dyDescent="0.25">
      <c r="A103" s="1" t="str">
        <f>IF(receta!A103="","",receta!A103)</f>
        <v>Negroni Sbagliato</v>
      </c>
      <c r="B103" s="1"/>
      <c r="C103" s="4" t="s">
        <v>595</v>
      </c>
      <c r="D103" s="1"/>
      <c r="E103" s="1"/>
      <c r="F103" s="1"/>
      <c r="G103" s="1"/>
      <c r="H103" s="1"/>
      <c r="I103" s="1"/>
      <c r="J103" s="1"/>
      <c r="K103" s="1"/>
      <c r="L103" s="1"/>
      <c r="M103" s="1"/>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1014</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240" x14ac:dyDescent="0.25">
      <c r="A106" s="1" t="str">
        <f>IF(receta!A106="","",receta!A106)</f>
        <v>Old Fashioned</v>
      </c>
      <c r="B106" s="4" t="s">
        <v>645</v>
      </c>
      <c r="C106" s="4"/>
      <c r="D106" s="4" t="s">
        <v>566</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968</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1012</v>
      </c>
      <c r="E110" s="4" t="s">
        <v>586</v>
      </c>
      <c r="F110" s="5" t="s">
        <v>546</v>
      </c>
      <c r="G110" s="5"/>
      <c r="H110" s="1"/>
      <c r="I110" s="1"/>
      <c r="J110" s="4"/>
      <c r="K110" s="5"/>
      <c r="L110" s="5"/>
      <c r="M110" s="4" t="s">
        <v>1013</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1018</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1016</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1015</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420</v>
      </c>
      <c r="F140" s="5" t="s">
        <v>419</v>
      </c>
      <c r="G140" s="5"/>
      <c r="H140" s="1"/>
      <c r="I140" s="1"/>
      <c r="J140" s="1"/>
      <c r="K140" s="5"/>
      <c r="L140" s="5"/>
      <c r="M140" s="4" t="s">
        <v>1017</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1"/>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4" t="s">
        <v>1022</v>
      </c>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989</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409.5" x14ac:dyDescent="0.25">
      <c r="A160" s="1" t="str">
        <f>IF(receta!A160="","",receta!A160)</f>
        <v>Chichón</v>
      </c>
      <c r="B160" s="4" t="s">
        <v>831</v>
      </c>
      <c r="C160" s="4" t="s">
        <v>830</v>
      </c>
      <c r="D160" s="4" t="s">
        <v>1026</v>
      </c>
      <c r="E160" s="1" t="s">
        <v>1024</v>
      </c>
      <c r="F160" s="5" t="s">
        <v>1025</v>
      </c>
      <c r="G160" s="4" t="s">
        <v>1023</v>
      </c>
      <c r="H160" s="1"/>
      <c r="I160" s="5"/>
      <c r="J160" s="1"/>
      <c r="K160" s="1"/>
      <c r="L160" s="1"/>
      <c r="M160" s="1"/>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980</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1"/>
      <c r="F165" s="1"/>
      <c r="G165" s="1"/>
      <c r="H165" s="1"/>
      <c r="I165" s="5"/>
      <c r="J165" s="1"/>
      <c r="K165" s="1"/>
      <c r="L165" s="1"/>
      <c r="M165" s="4" t="s">
        <v>994</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1"/>
    </row>
    <row r="168" spans="1:13" ht="180" x14ac:dyDescent="0.25">
      <c r="A168" s="1" t="str">
        <f>IF(receta!A168="","",receta!A168)</f>
        <v>Old Pal</v>
      </c>
      <c r="B168" s="1"/>
      <c r="C168" s="4" t="s">
        <v>1007</v>
      </c>
      <c r="D168" s="4"/>
      <c r="E168" s="1"/>
      <c r="F168" s="1"/>
      <c r="G168" s="1"/>
      <c r="H168" s="1"/>
      <c r="I168" s="5"/>
      <c r="J168" s="1"/>
      <c r="K168" s="1"/>
      <c r="L168" s="1"/>
      <c r="M168" s="4" t="s">
        <v>1011</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 ref="F97" r:id="rId70" xr:uid="{B4B59D4D-272B-4AEE-820B-4D18D5925638}"/>
    <hyperlink ref="F31" r:id="rId71" xr:uid="{295A8609-0926-4F9B-85D6-EFECD8ABD350}"/>
    <hyperlink ref="F160" r:id="rId72" xr:uid="{4AF06AA3-B56D-4EF1-A3DA-0A54500AAB46}"/>
  </hyperlinks>
  <pageMargins left="0.7" right="0.7" top="0.75" bottom="0.75" header="0.3" footer="0.3"/>
  <pageSetup orientation="portrait" r:id="rId7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2026-02-09T12:18:28Z</dcterms:modified>
</cp:coreProperties>
</file>