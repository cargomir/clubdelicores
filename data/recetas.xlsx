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E1D3587C-2CC6-4C3C-857E-2DE7161A1DE2}"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receta!$A$1:$EW$174</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3" i="6" l="1"/>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<sst xmlns="http://schemas.openxmlformats.org/spreadsheetml/2006/main" count="1646" uniqueCount="1088">
  <si>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</si>
  <si>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</si>
  <si>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</si>
  <si>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</si>
  <si>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</si>
  <si>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</si>
  <si>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</si>
  <si>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</si>
  <si>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</si>
  <si>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</si>
  <si>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</si>
  <si>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</si>
  <si>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</si>
  <si>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</si>
  <si>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</si>
  <si>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</si>
  <si>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</si>
  <si>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</si>
  <si>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</si>
  <si>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</si>
  <si>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</si>
  <si>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</si>
  <si>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</si>
  <si>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</si>
  <si>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</si>
  <si>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</si>
  <si>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</si>
  <si>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</si>
  <si>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</si>
  <si>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</si>
  <si>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</si>
  <si>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</si>
  <si>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</si>
  <si>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</si>
  <si>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</si>
  <si>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</si>
  <si>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</si>
  <si>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</si>
  <si>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</si>
  <si>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</si>
  <si>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</si>
  <si>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</si>
  <si>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</si>
  <si>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</si>
  <si>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</si>
  <si>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</si>
  <si>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</si>
  <si>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</si>
  <si>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</si>
  <si>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</si>
  <si>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</si>
  <si>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</si>
  <si>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</si>
  <si>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</si>
  <si>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</si>
  <si>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</si>
  <si>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</si>
  <si>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</si>
  <si>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</si>
  <si>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</si>
  <si>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</si>
  <si>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</si>
  <si>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</si>
  <si>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</si>
  <si>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</si>
  <si>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</si>
  <si>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</si>
  <si>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</si>
  <si>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</si>
  <si>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</si>
  <si>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</si>
  <si>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</si>
  <si>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</si>
  <si>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</si>
  <si>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</si>
  <si>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</si>
  <si>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</si>
  <si>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</si>
  <si>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</si>
  <si>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</si>
  <si>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</si>
  <si>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</si>
  <si>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</si>
  <si>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</si>
  <si>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</si>
  <si>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</si>
  <si>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</si>
  <si>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</si>
  <si>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</si>
  <si>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</si>
  <si>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</si>
  <si>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</si>
  <si>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</si>
  <si>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</si>
  <si>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</si>
  <si>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</si>
  <si>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</si>
  <si>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</si>
  <si>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</si>
  <si>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</si>
  <si>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</si>
  <si>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</si>
  <si>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</si>
  <si>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</si>
  <si>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</si>
  <si>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</si>
  <si>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</si>
  <si>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</si>
  <si>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</si>
  <si>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</si>
  <si>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</si>
  <si>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</si>
  <si>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</si>
  <si>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</si>
  <si>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</si>
  <si>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</si>
  <si>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</si>
  <si>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</si>
  <si>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</si>
  <si>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</si>
  <si>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</si>
  <si>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</si>
  <si>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</si>
  <si>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</si>
  <si>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</si>
  <si>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</si>
  <si>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</si>
  <si>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</si>
  <si>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</si>
  <si>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</si>
  <si>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</si>
  <si>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</si>
  <si>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</si>
  <si>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</si>
  <si>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</si>
  <si>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</si>
  <si>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</si>
  <si>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</si>
  <si>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</si>
  <si>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</si>
  <si>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</si>
  <si>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</si>
  <si>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</si>
  <si>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</si>
  <si>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</si>
  <si>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</si>
  <si>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</si>
  <si>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</si>
  <si>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</si>
  <si>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</si>
  <si>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</si>
  <si>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</si>
  <si>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</si>
  <si>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</si>
  <si>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</si>
  <si>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</si>
  <si>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</si>
  <si>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</si>
  <si>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</si>
  <si>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</si>
  <si>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</si>
  <si>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</si>
  <si>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</si>
  <si>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</si>
  <si>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</si>
  <si>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</si>
  <si>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</si>
  <si>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</si>
  <si>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</si>
  <si>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</si>
  <si>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</si>
  <si>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</si>
  <si>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</si>
  <si>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</si>
  <si>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</si>
  <si>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</si>
  <si>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</si>
  <si>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</si>
  <si>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</si>
  <si>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</si>
  <si>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</si>
  <si>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</si>
  <si>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</si>
  <si>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</si>
  <si>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</si>
  <si>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</si>
  <si>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</si>
  <si>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</si>
  <si>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</si>
  <si>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</si>
  <si>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</si>
  <si>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</si>
  <si>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</si>
  <si>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</si>
  <si>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</si>
  <si>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</si>
  <si>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</si>
  <si>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</si>
  <si>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</si>
  <si>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</si>
  <si>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</si>
  <si>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</si>
  <si>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</si>
  <si>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</si>
  <si>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</si>
  <si>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</si>
  <si>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</si>
  <si>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</si>
  <si>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</si>
  <si>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</si>
  <si>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</si>
  <si>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</si>
  <si>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</si>
  <si>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</si>
  <si>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</si>
  <si>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</si>
  <si>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</si>
  <si>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</si>
  <si>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</si>
  <si>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</si>
  <si>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</si>
  <si>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</si>
  <si>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</si>
  <si>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</si>
  <si>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</si>
  <si>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</si>
  <si>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</si>
  <si>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</si>
  <si>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</si>
  <si>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</si>
  <si>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</si>
  <si>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</si>
  <si>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</si>
  <si>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</si>
  <si>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</si>
  <si>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</si>
  <si>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</si>
  <si>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</si>
  <si>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</si>
  <si>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</si>
  <si>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</si>
  <si>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</si>
  <si>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</si>
  <si>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</si>
  <si>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</si>
  <si>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</si>
  <si>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</si>
  <si>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</si>
  <si>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</si>
  <si>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</si>
  <si>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</si>
  <si>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</si>
  <si>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</si>
  <si>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</si>
  <si>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</si>
  <si>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</si>
  <si>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</si>
  <si>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</si>
  <si>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</si>
  <si>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</si>
  <si>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</si>
  <si>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</si>
  <si>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</si>
  <si>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</si>
  <si>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</si>
  <si>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</si>
  <si>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</si>
  <si>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</si>
  <si>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</si>
  <si>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</si>
  <si>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</si>
  <si>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</si>
  <si>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</si>
  <si>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</si>
  <si>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</si>
  <si>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</si>
  <si>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</si>
  <si>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</si>
  <si>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</si>
  <si>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</si>
  <si>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</si>
  <si>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</si>
  <si>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</si>
  <si>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</si>
  <si>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</si>
  <si>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</si>
  <si>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</si>
  <si>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</si>
  <si>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</si>
  <si>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</si>
  <si>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</si>
  <si>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</si>
  <si>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</si>
  <si>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</si>
  <si>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</si>
  <si>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</si>
  <si>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</si>
  <si>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</si>
  <si>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</si>
  <si>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</si>
  <si>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</si>
  <si>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</si>
  <si>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</si>
  <si>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</si>
  <si>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</si>
  <si>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</si>
  <si>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</si>
  <si>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</si>
  <si>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</si>
  <si>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</si>
  <si>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</si>
  <si>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</si>
  <si>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</si>
  <si>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</si>
  <si>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</si>
  <si>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</si>
  <si>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</si>
  <si>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</si>
  <si>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</si>
  <si>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</si>
  <si>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</si>
  <si>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</si>
  <si>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</si>
  <si>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</si>
  <si>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</si>
  <si>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</si>
  <si>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</si>
  <si>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</si>
  <si>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</si>
  <si>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</si>
  <si>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</si>
  <si>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</si>
  <si>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</si>
  <si>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</si>
  <si>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</si>
  <si>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</si>
  <si>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</si>
  <si>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</si>
  <si>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</si>
  <si>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</si>
  <si>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</si>
  <si>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</si>
  <si>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</si>
  <si>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</si>
  <si>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</si>
  <si>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</si>
  <si>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</si>
  <si>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</si>
  <si>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</si>
  <si>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</si>
  <si>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</si>
  <si>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</si>
  <si>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</si>
  <si>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</si>
  <si>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</si>
  <si>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</si>
  <si>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</si>
  <si>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</si>
  <si>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</si>
  <si>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</si>
  <si>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</si>
  <si>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</si>
  <si>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</si>
  <si>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</si>
  <si>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</si>
  <si>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</si>
  <si>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</si>
  <si>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</si>
  <si>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</si>
  <si>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</si>
  <si>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</si>
  <si>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</si>
  <si>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</si>
  <si>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</si>
  <si>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</si>
  <si>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</si>
  <si>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</si>
  <si>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</si>
  <si>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</si>
  <si>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</si>
  <si>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</si>
  <si>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</si>
  <si>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</si>
  <si>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</si>
  <si>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</si>
  <si>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</si>
  <si>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</si>
  <si>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</si>
  <si>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</si>
  <si>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</si>
  <si>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</si>
  <si>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</si>
  <si>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</si>
  <si>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</si>
  <si>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</si>
  <si>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</si>
  <si>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</si>
  <si>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</si>
  <si>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</si>
  <si>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</si>
  <si>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</si>
  <si>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</si>
  <si>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</si>
  <si>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</si>
  <si>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</si>
  <si>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</si>
  <si>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</si>
  <si>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</si>
  <si>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</si>
  <si>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</si>
  <si>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</si>
  <si>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</si>
  <si>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</si>
  <si>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</si>
  <si>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</si>
  <si>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</si>
  <si>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</si>
  <si>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</si>
  <si>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</si>
  <si>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</si>
  <si>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</si>
  <si>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</si>
  <si>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</si>
  <si>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</si>
  <si>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</si>
  <si>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</si>
  <si>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</si>
  <si>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</si>
  <si>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</si>
  <si>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</si>
  <si>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</si>
  <si>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</si>
  <si>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</si>
  <si>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</si>
  <si>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</si>
  <si>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</si>
  <si>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</si>
  <si>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</si>
  <si>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</si>
  <si>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</si>
  <si>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</si>
  <si>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</si>
  <si>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</si>
  <si>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</si>
  <si>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</si>
  <si>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</si>
  <si>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</si>
  <si>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</si>
  <si>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</si>
  <si>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</si>
  <si>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</si>
  <si>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</si>
  <si>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</si>
  <si>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</si>
  <si>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</si>
  <si>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</si>
  <si>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</si>
  <si>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</si>
  <si>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</si>
  <si>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</si>
  <si>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</si>
  <si>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</si>
  <si>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</si>
  <si>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</si>
  <si>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</si>
  <si>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</si>
  <si>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</si>
  <si>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</si>
  <si>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</si>
  <si>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</si>
  <si>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</si>
  <si>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</si>
  <si>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</si>
  <si>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</si>
  <si>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</si>
  <si>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</si>
  <si>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</si>
  <si>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</si>
  <si>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</si>
  <si>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</si>
  <si>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</si>
  <si>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</si>
  <si>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</si>
  <si>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</si>
  <si>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</si>
  <si>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</si>
  <si>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</si>
  <si>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</si>
  <si>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</si>
  <si>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</si>
  <si>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</si>
  <si>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</si>
  <si>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</si>
  <si>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</si>
  <si>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</si>
  <si>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</si>
  <si>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</si>
  <si>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</si>
  <si>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</si>
  <si>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</si>
  <si>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</si>
  <si>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</si>
  <si>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</si>
  <si>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</si>
  <si>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</si>
  <si>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</si>
  <si>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</si>
  <si>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</si>
  <si>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</si>
  <si>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</si>
  <si>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</si>
  <si>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</si>
  <si>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</si>
  <si>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</si>
  <si>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</si>
  <si>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</si>
  <si>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</si>
  <si>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</si>
  <si>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</si>
  <si>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</si>
  <si>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</si>
  <si>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</si>
  <si>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</si>
  <si>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</si>
  <si>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</si>
  <si>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</si>
  <si>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</si>
  <si>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</si>
  <si>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</si>
  <si>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</si>
  <si>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</si>
  <si>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</si>
  <si>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</si>
  <si>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</si>
  <si>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</si>
  <si>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</si>
  <si>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</si>
  <si>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</si>
  <si>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</si>
  <si>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</si>
  <si>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</si>
  <si>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</si>
  <si>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</si>
  <si>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</si>
  <si>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</si>
  <si>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</si>
  <si>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</si>
  <si>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</si>
  <si>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</si>
  <si>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</si>
  <si>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</si>
  <si>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</si>
  <si>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</si>
  <si>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</si>
  <si>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</si>
  <si>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</si>
  <si>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</si>
  <si>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</si>
  <si>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</si>
  <si>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</si>
  <si>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</si>
  <si>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</si>
  <si>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</si>
  <si>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</si>
  <si>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</si>
  <si>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</si>
  <si>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</si>
  <si>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</si>
  <si>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</si>
  <si>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</si>
  <si>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</si>
  <si>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</si>
  <si>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</si>
  <si>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</si>
  <si>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</si>
  <si>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</si>
  <si>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</si>
  <si>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</si>
  <si>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</si>
  <si>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</si>
  <si>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</si>
  <si>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</si>
  <si>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</si>
  <si>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</si>
  <si>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</si>
  <si>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</si>
  <si>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</si>
  <si>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</si>
  <si>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</si>
  <si>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</si>
  <si>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</si>
  <si>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</si>
  <si>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</si>
  <si>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</si>
  <si>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</si>
  <si>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</si>
  <si>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</si>
  <si>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</si>
  <si>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</si>
  <si>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</si>
  <si>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</si>
  <si>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</si>
  <si>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</si>
  <si>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</si>
  <si>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</si>
  <si>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</si>
  <si>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</si>
  <si>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</si>
  <si>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</si>
  <si>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</si>
  <si>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</si>
  <si>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</si>
  <si>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</si>
  <si>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</si>
  <si>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</si>
  <si>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</si>
  <si>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</si>
  <si>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</si>
  <si>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</si>
  <si>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</si>
  <si>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</si>
  <si>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</si>
  <si>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</si>
  <si>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</si>
  <si>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</si>
  <si>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</si>
  <si>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</si>
  <si>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</si>
  <si>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</si>
  <si>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</si>
  <si>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</si>
  <si>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</si>
  <si>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</si>
  <si>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</si>
  <si>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</si>
  <si>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</si>
  <si>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</si>
  <si>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</si>
  <si>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</si>
  <si>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</si>
  <si>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</si>
  <si>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</si>
  <si>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</si>
  <si>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</si>
  <si>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</si>
  <si>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</si>
  <si>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</si>
  <si>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</si>
  <si>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</si>
  <si>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</si>
  <si>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</si>
  <si>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</si>
  <si>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</si>
  <si>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</si>
  <si>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</si>
  <si>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</si>
  <si>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</si>
  <si>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</si>
  <si>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</si>
  <si>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</si>
  <si>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</si>
  <si>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</si>
  <si>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</si>
  <si>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</si>
  <si>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</si>
  <si>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</si>
  <si>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</si>
  <si>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</si>
  <si>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</si>
  <si>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</si>
  <si>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</si>
  <si>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</si>
  <si>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</si>
  <si>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</si>
  <si>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</si>
  <si>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</si>
  <si>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</si>
  <si>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</si>
  <si>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</si>
  <si>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</si>
  <si>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</si>
  <si>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</si>
  <si>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</si>
  <si>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</si>
  <si>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</si>
  <si>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</si>
  <si>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</si>
  <si>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</si>
  <si>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</si>
  <si>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</si>
  <si>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</si>
  <si>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</si>
  <si>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</si>
  <si>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</si>
  <si>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</si>
  <si>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</si>
  <si>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</si>
  <si>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</si>
  <si>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</si>
  <si>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</si>
  <si>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</si>
  <si>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</si>
  <si>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</si>
  <si>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</si>
  <si>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</si>
  <si>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</si>
  <si>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</si>
  <si>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</si>
  <si>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</si>
  <si>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</si>
  <si>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</si>
  <si>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</si>
  <si>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</si>
  <si>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</si>
  <si>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</si>
  <si>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</si>
  <si>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</si>
  <si>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</si>
  <si>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</si>
  <si>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</si>
  <si>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</si>
  <si>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</si>
  <si>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</si>
  <si>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</si>
  <si>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</si>
  <si>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</si>
  <si>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</si>
  <si>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</si>
  <si>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</si>
  <si>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</si>
  <si>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</si>
  <si>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</si>
  <si>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</si>
  <si>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</si>
  <si>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</si>
  <si>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</si>
  <si>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</si>
  <si>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</si>
  <si>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</si>
  <si>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</si>
  <si>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</si>
  <si>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</si>
  <si>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</si>
  <si>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</si>
  <si>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</si>
  <si>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</si>
  <si>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</si>
  <si>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</si>
  <si>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</si>
  <si>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</si>
  <si>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</si>
  <si>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</si>
  <si>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</si>
  <si>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</si>
  <si>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</si>
  <si>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</si>
  <si>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</si>
  <si>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</si>
  <si>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</si>
  <si>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</si>
  <si>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</si>
  <si>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</si>
  <si>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</si>
  <si>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</si>
  <si>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</si>
  <si>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</si>
  <si>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</si>
  <si>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</si>
  <si>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</si>
  <si>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</si>
  <si>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</si>
  <si>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</si>
  <si>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</si>
  <si>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</si>
  <si>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</si>
  <si>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</si>
  <si>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</si>
  <si>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</si>
  <si>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</si>
  <si>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</si>
  <si>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</si>
  <si>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</si>
  <si>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</si>
  <si>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</si>
  <si>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</si>
  <si>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</si>
  <si>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</si>
  <si>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</si>
  <si>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</si>
  <si>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</si>
  <si>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</si>
  <si>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</si>
  <si>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</si>
  <si>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</si>
  <si>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</si>
  <si>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</si>
  <si>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</si>
  <si>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</si>
  <si>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</si>
  <si>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</si>
  <si>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</si>
  <si>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</si>
  <si>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</si>
  <si>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</si>
  <si>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</si>
  <si>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</si>
  <si>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</si>
  <si>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</si>
  <si>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</si>
  <si>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</si>
  <si>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</si>
  <si>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</si>
  <si>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</si>
  <si>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</si>
  <si>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</si>
  <si>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</si>
  <si>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</si>
  <si>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</si>
  <si>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</si>
  <si>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</si>
  <si>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</si>
  <si>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</si>
  <si>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</si>
  <si>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</si>
  <si>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</si>
  <si>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</si>
  <si>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</si>
  <si>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</si>
  <si>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</si>
  <si>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</si>
  <si>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</si>
  <si>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</si>
  <si>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</si>
  <si>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</si>
  <si>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</si>
  <si>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</si>
  <si>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</si>
  <si>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</si>
  <si>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</si>
  <si>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</si>
  <si>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</si>
  <si>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</si>
  <si>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</si>
  <si>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</si>
  <si>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</si>
  <si>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</si>
  <si>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</si>
  <si>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</si>
  <si>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</si>
  <si>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</si>
  <si>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</si>
  <si>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</si>
  <si>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</si>
  <si>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</si>
  <si>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</si>
  <si>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</si>
  <si>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</si>
  <si>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</si>
  <si>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</si>
  <si>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</si>
  <si>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</si>
  <si>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</si>
  <si>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</si>
  <si>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</si>
  <si>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</si>
  <si>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</si>
  <si>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</si>
  <si>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</si>
  <si>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</si>
  <si>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</si>
  <si>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</si>
  <si>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</si>
  <si>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</si>
  <si>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</si>
  <si>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</si>
  <si>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</si>
  <si>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</si>
  <si>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</si>
  <si>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</si>
  <si>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</si>
  <si>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</si>
  <si>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</si>
  <si>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</si>
  <si>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</si>
  <si>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</si>
  <si>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</si>
  <si>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</si>
  <si>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</si>
  <si>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</si>
  <si>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</si>
  <si>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</si>
  <si>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</si>
  <si>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</si>
  <si>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</si>
  <si>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</si>
  <si>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</si>
  <si>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</si>
  <si>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</si>
  <si>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</si>
  <si>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</si>
  <si>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</si>
  <si>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</si>
  <si>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</si>
  <si>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</si>
  <si>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</si>
  <si>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</si>
  <si>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</si>
  <si>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</si>
  <si>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</si>
  <si>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</si>
  <si>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</si>
  <si>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</si>
  <si>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</si>
  <si>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</si>
  <si>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</si>
  <si>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</si>
  <si>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</si>
  <si>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</si>
  <si>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</si>
  <si>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</si>
  <si>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</si>
  <si>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</si>
  <si>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</si>
  <si>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</si>
  <si>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</si>
  <si>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</si>
  <si>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</si>
  <si>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</si>
  <si>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</si>
  <si>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</si>
  <si>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</si>
  <si>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</si>
  <si>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</si>
  <si>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</si>
  <si>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</si>
  <si>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</si>
  <si>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</si>
  <si>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</si>
  <si>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</si>
  <si>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</si>
  <si>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</si>
  <si>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</si>
  <si>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</si>
  <si>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</si>
  <si>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</si>
  <si>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</si>
  <si>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</si>
  <si>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</si>
  <si>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</si>
  <si>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</si>
  <si>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</si>
  <si>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</si>
  <si>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</si>
  <si>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</si>
  <si>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</si>
  <si>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</si>
  <si>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</si>
  <si>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</si>
  <si>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</si>
  <si>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</si>
  <si>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</si>
  <si>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</si>
  <si>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</si>
  <si>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</si>
  <si>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</si>
  <si>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</si>
  <si>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</si>
  <si>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</si>
  <si>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</si>
  <si>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</si>
  <si>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</si>
  <si>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</si>
  <si>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</si>
  <si>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</si>
  <si>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</si>
  <si>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</si>
  <si>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</si>
  <si>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</si>
  <si>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</si>
  <si>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</si>
  <si>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</si>
  <si>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</si>
  <si>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</si>
  <si>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</si>
  <si>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</si>
  <si>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</si>
  <si>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</si>
  <si>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</si>
  <si>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</si>
  <si>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</si>
  <si>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</si>
  <si>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</si>
  <si>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</si>
  <si>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</si>
  <si>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</si>
  <si>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</si>
  <si>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</si>
  <si>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</si>
  <si>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</si>
  <si>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</si>
  <si>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</si>
  <si>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</si>
  <si>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</si>
  <si>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</si>
  <si>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</si>
  <si>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</si>
  <si>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</si>
  <si>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</si>
  <si>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</si>
  <si>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</si>
  <si>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</si>
  <si>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</si>
  <si>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</si>
  <si>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</si>
  <si>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</si>
  <si>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</si>
  <si>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</si>
  <si>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</si>
  <si>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</si>
  <si>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</si>
  <si>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</si>
  <si>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</si>
  <si>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</si>
  <si>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</si>
  <si>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</si>
  <si>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</si>
  <si>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</si>
  <si>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</si>
  <si>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</si>
  <si>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</si>
  <si>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</si>
  <si>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</si>
  <si>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</si>
  <si>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</si>
  <si>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</si>
  <si>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</si>
  <si>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</si>
  <si>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</si>
  <si>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</si>
  <si>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</si>
  <si>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</si>
  <si>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</si>
  <si>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</si>
  <si>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</si>
  <si>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</si>
  <si>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</si>
  <si>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</si>
  <si>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</si>
  <si>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</si>
  <si>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</si>
  <si>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</si>
  <si>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</si>
  <si>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</si>
  <si>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</si>
  <si>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</si>
  <si>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</si>
  <si>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</si>
  <si>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</si>
  <si>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</si>
  <si>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</si>
  <si>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</si>
  <si>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</si>
  <si>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</si>
  <si>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</si>
  <si>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</si>
  <si>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</si>
  <si>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</si>
  <si>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</si>
  <si>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</si>
  <si>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</si>
  <si>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</si>
  <si>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</si>
  <si>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</si>
  <si>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</si>
  <si>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</si>
  <si>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</si>
  <si>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</si>
  <si>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</si>
  <si>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</si>
  <si>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</si>
  <si>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</si>
  <si>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Schweppestonic.jpg
Anuncio publicitario de Schweppes Tonic Water, publicado en la revista canadiense Maclean’s, 7 de julio de 1986.</t>
  </si>
  <si>
    <t>Para un Spritz, 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</si>
  <si>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</si>
  <si>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Lemmy2.jpg
Lemmy Kilmister, líder y bajista de Motörhead, fotografiado en el Hammersmith Odeon de Londres el 26 de marzo de 1982. Fotografía de Steve Rapport.</t>
  </si>
  <si>
    <t>Santiago del Nuevo Extremo e Inti illimani - La Mitad Lejana</t>
  </si>
  <si>
    <t>La bebida fue inventada por Henry C. Ramos en el bar Imperial Cabinet Saloon de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</si>
  <si>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ramos.jpg
Henry C. Ramos (1846–1928), barman de Nueva Orleans y creador del Ramos Gin Fizz en 1888.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</si>
</sst>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exyPQqohghs"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56" Type="http://schemas.openxmlformats.org/officeDocument/2006/relationships/hyperlink" Target="https://www.youtube.com/watch?v=Up4WjdabA2c"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77" Type="http://schemas.openxmlformats.org/officeDocument/2006/relationships/hyperlink" Target="https://www.youtube.com/watch?v=MUUrW7xJSw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80" Type="http://schemas.openxmlformats.org/officeDocument/2006/relationships/hyperlink" Target="https://www.youtube.com/watch?v=eOs1cfRq1x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3" workbookViewId="0">
      <pane xSplit="1" topLeftCell="B1" activePane="topRight" state="frozen"/>
      <selection pane="topRight" activeCell="A173" sqref="A173"/>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886</v>
      </c>
      <c r="P1" s="27" t="s">
        <v>691</v>
      </c>
      <c r="Q1" s="27" t="s">
        <v>79</v>
      </c>
      <c r="R1" s="27" t="s">
        <v>229</v>
      </c>
      <c r="S1" s="27" t="s">
        <v>265</v>
      </c>
      <c r="T1" s="27" t="s">
        <v>565</v>
      </c>
      <c r="U1" s="27" t="s">
        <v>864</v>
      </c>
      <c r="V1" s="27" t="s">
        <v>617</v>
      </c>
      <c r="W1" s="27" t="s">
        <v>80</v>
      </c>
      <c r="X1" s="27" t="s">
        <v>81</v>
      </c>
      <c r="Y1" s="27" t="s">
        <v>195</v>
      </c>
      <c r="Z1" s="27" t="s">
        <v>196</v>
      </c>
      <c r="AA1" s="27" t="s">
        <v>825</v>
      </c>
      <c r="AB1" s="27" t="s">
        <v>824</v>
      </c>
      <c r="AC1" s="27" t="s">
        <v>898</v>
      </c>
      <c r="AD1" s="27" t="s">
        <v>899</v>
      </c>
      <c r="AE1" s="27" t="s">
        <v>82</v>
      </c>
      <c r="AF1" s="27" t="s">
        <v>83</v>
      </c>
      <c r="AG1" s="27" t="s">
        <v>249</v>
      </c>
      <c r="AH1" s="27" t="s">
        <v>84</v>
      </c>
      <c r="AI1" s="27" t="s">
        <v>85</v>
      </c>
      <c r="AJ1" s="27" t="s">
        <v>233</v>
      </c>
      <c r="AK1" s="27" t="s">
        <v>86</v>
      </c>
      <c r="AL1" s="27" t="s">
        <v>87</v>
      </c>
      <c r="AM1" s="27" t="s">
        <v>550</v>
      </c>
      <c r="AN1" s="27" t="s">
        <v>223</v>
      </c>
      <c r="AO1" s="27" t="s">
        <v>88</v>
      </c>
      <c r="AP1" s="27" t="s">
        <v>263</v>
      </c>
      <c r="AQ1" s="27" t="s">
        <v>90</v>
      </c>
      <c r="AR1" s="27" t="s">
        <v>91</v>
      </c>
      <c r="AS1" s="27" t="s">
        <v>92</v>
      </c>
      <c r="AT1" s="27" t="s">
        <v>153</v>
      </c>
      <c r="AU1" s="27" t="s">
        <v>200</v>
      </c>
      <c r="AV1" s="27" t="s">
        <v>853</v>
      </c>
      <c r="AW1" s="27" t="s">
        <v>209</v>
      </c>
      <c r="AX1" s="27" t="s">
        <v>744</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796</v>
      </c>
      <c r="CC1" s="8" t="s">
        <v>817</v>
      </c>
      <c r="CD1" s="7" t="s">
        <v>280</v>
      </c>
      <c r="CE1" s="7" t="s">
        <v>574</v>
      </c>
      <c r="CF1" s="8" t="s">
        <v>198</v>
      </c>
      <c r="CG1" s="8" t="s">
        <v>121</v>
      </c>
      <c r="CH1" s="8" t="s">
        <v>115</v>
      </c>
      <c r="CI1" s="8" t="s">
        <v>116</v>
      </c>
      <c r="CJ1" s="8" t="s">
        <v>117</v>
      </c>
      <c r="CK1" s="8" t="s">
        <v>118</v>
      </c>
      <c r="CL1" s="8" t="s">
        <v>119</v>
      </c>
      <c r="CM1" s="8" t="s">
        <v>120</v>
      </c>
      <c r="CN1" s="8" t="s">
        <v>428</v>
      </c>
      <c r="CO1" s="8" t="s">
        <v>215</v>
      </c>
      <c r="CP1" s="8" t="s">
        <v>700</v>
      </c>
      <c r="CQ1" s="8" t="s">
        <v>515</v>
      </c>
      <c r="CR1" s="7" t="s">
        <v>95</v>
      </c>
      <c r="CS1" s="7" t="s">
        <v>96</v>
      </c>
      <c r="CT1" s="7" t="s">
        <v>97</v>
      </c>
      <c r="CU1" s="7" t="s">
        <v>526</v>
      </c>
      <c r="CV1" s="7" t="s">
        <v>385</v>
      </c>
      <c r="CW1" s="7" t="s">
        <v>98</v>
      </c>
      <c r="CX1" s="7" t="s">
        <v>486</v>
      </c>
      <c r="CY1" s="7" t="s">
        <v>99</v>
      </c>
      <c r="CZ1" s="8" t="s">
        <v>122</v>
      </c>
      <c r="DA1" s="7" t="s">
        <v>214</v>
      </c>
      <c r="DB1" s="7" t="s">
        <v>154</v>
      </c>
      <c r="DC1" s="8" t="s">
        <v>618</v>
      </c>
      <c r="DD1" s="18" t="s">
        <v>666</v>
      </c>
      <c r="DE1" s="18" t="s">
        <v>669</v>
      </c>
      <c r="DF1" s="18" t="s">
        <v>665</v>
      </c>
      <c r="DG1" s="18" t="s">
        <v>842</v>
      </c>
      <c r="DH1" s="18" t="s">
        <v>843</v>
      </c>
      <c r="DI1" s="15" t="s">
        <v>136</v>
      </c>
      <c r="DJ1" s="15" t="s">
        <v>135</v>
      </c>
      <c r="DK1" s="15" t="s">
        <v>671</v>
      </c>
      <c r="DL1" s="15" t="s">
        <v>567</v>
      </c>
      <c r="DM1" s="15" t="s">
        <v>568</v>
      </c>
      <c r="DN1" s="15" t="s">
        <v>698</v>
      </c>
      <c r="DO1" s="15" t="s">
        <v>679</v>
      </c>
      <c r="DP1" s="15" t="s">
        <v>604</v>
      </c>
      <c r="DQ1" s="15" t="s">
        <v>814</v>
      </c>
      <c r="DR1" s="15" t="s">
        <v>605</v>
      </c>
      <c r="DS1" s="15" t="s">
        <v>524</v>
      </c>
      <c r="DT1" s="15" t="s">
        <v>141</v>
      </c>
      <c r="DU1" s="15" t="s">
        <v>237</v>
      </c>
      <c r="DV1" s="15" t="s">
        <v>606</v>
      </c>
      <c r="DW1" s="15" t="s">
        <v>569</v>
      </c>
      <c r="DX1" s="15" t="s">
        <v>810</v>
      </c>
      <c r="DY1" s="15" t="s">
        <v>603</v>
      </c>
      <c r="DZ1" s="15" t="s">
        <v>566</v>
      </c>
      <c r="EA1" s="15" t="s">
        <v>556</v>
      </c>
      <c r="EB1" s="21" t="s">
        <v>559</v>
      </c>
      <c r="EC1" s="21" t="s">
        <v>845</v>
      </c>
      <c r="ED1" s="25" t="s">
        <v>812</v>
      </c>
      <c r="EE1" s="12" t="s">
        <v>844</v>
      </c>
      <c r="EF1" s="14" t="s">
        <v>608</v>
      </c>
      <c r="EG1" s="12" t="s">
        <v>234</v>
      </c>
      <c r="EH1" s="12" t="s">
        <v>816</v>
      </c>
      <c r="EI1" s="12" t="s">
        <v>286</v>
      </c>
      <c r="EJ1" s="16" t="s">
        <v>123</v>
      </c>
      <c r="EK1" s="17" t="s">
        <v>124</v>
      </c>
      <c r="EL1" s="17" t="s">
        <v>125</v>
      </c>
      <c r="EM1" s="17" t="s">
        <v>832</v>
      </c>
      <c r="EN1" s="17" t="s">
        <v>819</v>
      </c>
      <c r="EO1" s="17" t="s">
        <v>558</v>
      </c>
      <c r="EP1" s="19" t="s">
        <v>609</v>
      </c>
      <c r="EQ1" s="19" t="s">
        <v>619</v>
      </c>
      <c r="ER1" s="19" t="s">
        <v>126</v>
      </c>
      <c r="ES1" s="19" t="s">
        <v>127</v>
      </c>
      <c r="ET1" s="19" t="s">
        <v>128</v>
      </c>
      <c r="EU1" s="20" t="s">
        <v>231</v>
      </c>
      <c r="EV1" s="20" t="s">
        <v>846</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573</v>
      </c>
      <c r="B10" s="1" t="s">
        <v>51</v>
      </c>
      <c r="C10" s="2" t="s">
        <v>730</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552</v>
      </c>
      <c r="B12" s="1" t="s">
        <v>55</v>
      </c>
      <c r="C12" s="2" t="s">
        <v>730</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601</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441</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564</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485</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674</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696</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584</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697</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514</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512</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572</v>
      </c>
      <c r="B37" s="1" t="s">
        <v>53</v>
      </c>
      <c r="C37" s="2" t="s">
        <v>730</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506</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479</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492</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382</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394</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354</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690</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529</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429</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397</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387</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560</v>
      </c>
      <c r="B73" s="3" t="s">
        <v>561</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699</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715</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716</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613</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616</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678</v>
      </c>
      <c r="B91" s="1" t="s">
        <v>679</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513</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714</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557</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525</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530</v>
      </c>
      <c r="B110" s="1" t="s">
        <v>53</v>
      </c>
      <c r="C110" s="2" t="s">
        <v>730</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496</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497</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507</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602</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532</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577</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600</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581</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423</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607</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533</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491</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710</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684</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688</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752</v>
      </c>
      <c r="B151" s="1" t="s">
        <v>53</v>
      </c>
      <c r="C151" s="2" t="s">
        <v>730</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755</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759</v>
      </c>
      <c r="B153" s="1" t="s">
        <v>53</v>
      </c>
      <c r="C153" s="2" t="s">
        <v>730</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769</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795</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799</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803</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809</v>
      </c>
      <c r="B158" s="1" t="s">
        <v>278</v>
      </c>
      <c r="C158" s="2" t="s">
        <v>806</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815</v>
      </c>
      <c r="B159" s="1" t="s">
        <v>278</v>
      </c>
      <c r="C159" s="2" t="s">
        <v>806</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823</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831</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833</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848</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852</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863</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873</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889</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887</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890</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891</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897</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1059</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t="s">
        <v>1078</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t="s">
        <v>1079</v>
      </c>
      <c r="B174" s="1" t="s">
        <v>49</v>
      </c>
      <c r="C174" s="2" t="s">
        <v>63</v>
      </c>
      <c r="D174" s="2">
        <v>500</v>
      </c>
      <c r="E174" s="2">
        <v>200</v>
      </c>
      <c r="F174" s="2" t="s">
        <v>59</v>
      </c>
      <c r="G174" s="2">
        <v>300</v>
      </c>
      <c r="H174" s="2">
        <f t="shared" ref="H174"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4"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C174" sqref="C17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524</v>
      </c>
      <c r="G1" s="8" t="s">
        <v>713</v>
      </c>
      <c r="H1" s="8" t="s">
        <v>141</v>
      </c>
      <c r="I1" s="8" t="s">
        <v>569</v>
      </c>
      <c r="J1" s="8" t="s">
        <v>237</v>
      </c>
      <c r="K1" s="8" t="s">
        <v>133</v>
      </c>
      <c r="L1" s="8" t="s">
        <v>134</v>
      </c>
      <c r="M1" s="8" t="s">
        <v>283</v>
      </c>
      <c r="N1" s="7" t="s">
        <v>580</v>
      </c>
      <c r="O1" s="8" t="s">
        <v>874</v>
      </c>
      <c r="P1" s="8" t="s">
        <v>132</v>
      </c>
      <c r="Q1" s="8" t="s">
        <v>285</v>
      </c>
      <c r="R1" s="8" t="s">
        <v>130</v>
      </c>
      <c r="S1" s="7" t="s">
        <v>135</v>
      </c>
      <c r="T1" s="7" t="s">
        <v>136</v>
      </c>
      <c r="U1" s="7" t="s">
        <v>137</v>
      </c>
      <c r="V1" s="7" t="s">
        <v>343</v>
      </c>
      <c r="W1" s="7" t="s">
        <v>138</v>
      </c>
      <c r="X1" s="7" t="s">
        <v>139</v>
      </c>
      <c r="Y1" s="7" t="s">
        <v>218</v>
      </c>
      <c r="Z1" s="7" t="s">
        <v>131</v>
      </c>
      <c r="AA1" s="7" t="s">
        <v>531</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topLeftCell="G1" zoomScale="60" zoomScaleNormal="60" workbookViewId="0">
      <pane ySplit="1" topLeftCell="A157" activePane="bottomLeft" state="frozen"/>
      <selection pane="bottomLeft" activeCell="K161" sqref="K161"/>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620</v>
      </c>
      <c r="C1" s="7" t="s">
        <v>318</v>
      </c>
      <c r="D1" s="7" t="s">
        <v>155</v>
      </c>
      <c r="E1" s="7" t="s">
        <v>314</v>
      </c>
      <c r="F1" s="7" t="s">
        <v>315</v>
      </c>
      <c r="G1" s="7" t="s">
        <v>963</v>
      </c>
      <c r="H1" s="7" t="s">
        <v>316</v>
      </c>
      <c r="I1" s="7" t="s">
        <v>317</v>
      </c>
      <c r="J1" s="7" t="s">
        <v>762</v>
      </c>
      <c r="K1" s="7" t="s">
        <v>763</v>
      </c>
      <c r="L1" s="7" t="s">
        <v>964</v>
      </c>
      <c r="M1" s="7" t="s">
        <v>811</v>
      </c>
    </row>
    <row r="2" spans="1:13" ht="270" x14ac:dyDescent="0.25">
      <c r="A2" s="1" t="str">
        <f>IF(receta!A2="","",receta!A2)</f>
        <v>Agua de Valencia</v>
      </c>
      <c r="B2" s="1"/>
      <c r="C2" s="4" t="s">
        <v>361</v>
      </c>
      <c r="D2" s="4" t="s">
        <v>309</v>
      </c>
      <c r="E2" s="1" t="s">
        <v>292</v>
      </c>
      <c r="F2" s="1" t="s">
        <v>291</v>
      </c>
      <c r="G2" s="1"/>
      <c r="H2" s="1"/>
      <c r="I2" s="1"/>
      <c r="J2" s="1"/>
      <c r="K2" s="1"/>
      <c r="L2" s="1"/>
      <c r="M2" s="4" t="s">
        <v>903</v>
      </c>
    </row>
    <row r="3" spans="1:13" ht="409.5" x14ac:dyDescent="0.25">
      <c r="A3" s="1" t="str">
        <f>IF(receta!A3="","",receta!A3)</f>
        <v>Alejandra</v>
      </c>
      <c r="B3" s="4" t="s">
        <v>663</v>
      </c>
      <c r="C3" s="4" t="s">
        <v>366</v>
      </c>
      <c r="D3" s="4" t="s">
        <v>235</v>
      </c>
      <c r="E3" s="1"/>
      <c r="F3" s="1"/>
      <c r="G3" s="1"/>
      <c r="H3" s="1"/>
      <c r="I3" s="1"/>
      <c r="J3" s="1"/>
      <c r="K3" s="1"/>
      <c r="L3" s="1"/>
      <c r="M3" s="1"/>
    </row>
    <row r="4" spans="1:13" ht="180" x14ac:dyDescent="0.25">
      <c r="A4" s="1" t="str">
        <f>IF(receta!A4="","",receta!A4)</f>
        <v>Alevosía</v>
      </c>
      <c r="B4" s="1"/>
      <c r="C4" s="1" t="s">
        <v>371</v>
      </c>
      <c r="D4" s="4" t="s">
        <v>435</v>
      </c>
      <c r="E4" s="1" t="s">
        <v>238</v>
      </c>
      <c r="F4" s="5" t="s">
        <v>239</v>
      </c>
      <c r="G4" s="4" t="s">
        <v>967</v>
      </c>
      <c r="H4" s="1"/>
      <c r="I4" s="5"/>
      <c r="J4" s="1"/>
      <c r="K4" s="5"/>
      <c r="L4" s="5"/>
      <c r="M4" s="1"/>
    </row>
    <row r="5" spans="1:13" ht="409.5" x14ac:dyDescent="0.25">
      <c r="A5" s="1" t="str">
        <f>IF(receta!A5="","",receta!A5)</f>
        <v>Alexander</v>
      </c>
      <c r="B5" s="4" t="s">
        <v>664</v>
      </c>
      <c r="C5" s="4" t="s">
        <v>448</v>
      </c>
      <c r="D5" s="4" t="s">
        <v>551</v>
      </c>
      <c r="E5" s="4" t="s">
        <v>365</v>
      </c>
      <c r="F5" s="5" t="s">
        <v>364</v>
      </c>
      <c r="G5" s="5"/>
      <c r="H5" s="1"/>
      <c r="I5" s="1"/>
      <c r="J5" s="4"/>
      <c r="K5" s="5"/>
      <c r="L5" s="5"/>
      <c r="M5" s="4" t="s">
        <v>913</v>
      </c>
    </row>
    <row r="6" spans="1:13" ht="270" x14ac:dyDescent="0.25">
      <c r="A6" s="1" t="str">
        <f>IF(receta!A6="","",receta!A6)</f>
        <v>Amaretto Sour</v>
      </c>
      <c r="B6" s="4" t="s">
        <v>725</v>
      </c>
      <c r="C6" s="4" t="s">
        <v>352</v>
      </c>
      <c r="D6" s="1"/>
      <c r="E6" s="1" t="s">
        <v>438</v>
      </c>
      <c r="F6" s="1" t="s">
        <v>437</v>
      </c>
      <c r="G6" s="1"/>
      <c r="H6" s="1"/>
      <c r="I6" s="1"/>
      <c r="J6" s="1"/>
      <c r="K6" s="1"/>
      <c r="L6" s="1"/>
      <c r="M6" s="4" t="s">
        <v>951</v>
      </c>
    </row>
    <row r="7" spans="1:13" ht="270" x14ac:dyDescent="0.25">
      <c r="A7" s="1" t="str">
        <f>IF(receta!A7="","",receta!A7)</f>
        <v>Amaretto Spritz</v>
      </c>
      <c r="B7" s="4" t="s">
        <v>1082</v>
      </c>
      <c r="C7" s="4" t="s">
        <v>352</v>
      </c>
      <c r="D7" s="1"/>
      <c r="E7" s="1" t="s">
        <v>440</v>
      </c>
      <c r="F7" s="1" t="s">
        <v>439</v>
      </c>
      <c r="G7" s="1"/>
      <c r="H7" s="1"/>
      <c r="I7" s="1"/>
      <c r="J7" s="1"/>
      <c r="K7" s="1"/>
      <c r="L7" s="1"/>
      <c r="M7" s="4" t="s">
        <v>952</v>
      </c>
    </row>
    <row r="8" spans="1:13" ht="210" x14ac:dyDescent="0.25">
      <c r="A8" s="1" t="str">
        <f>IF(receta!A8="","",receta!A8)</f>
        <v>Americano</v>
      </c>
      <c r="B8" s="1"/>
      <c r="C8" s="4" t="s">
        <v>367</v>
      </c>
      <c r="D8" s="1"/>
      <c r="E8" s="1" t="s">
        <v>170</v>
      </c>
      <c r="F8" s="1" t="s">
        <v>171</v>
      </c>
      <c r="G8" s="1"/>
      <c r="H8" s="1"/>
      <c r="I8" s="1"/>
      <c r="J8" s="1"/>
      <c r="K8" s="1"/>
      <c r="L8" s="1"/>
      <c r="M8" s="4" t="s">
        <v>1040</v>
      </c>
    </row>
    <row r="9" spans="1:13" ht="105" x14ac:dyDescent="0.25">
      <c r="A9" s="1" t="str">
        <f>IF(receta!A9="","",receta!A9)</f>
        <v>Amiga Mía</v>
      </c>
      <c r="B9" s="1"/>
      <c r="C9" s="1" t="s">
        <v>371</v>
      </c>
      <c r="D9" s="4" t="s">
        <v>424</v>
      </c>
      <c r="E9" s="1" t="s">
        <v>188</v>
      </c>
      <c r="F9" s="5" t="s">
        <v>189</v>
      </c>
      <c r="G9" s="5"/>
      <c r="H9" s="1"/>
      <c r="I9" s="5"/>
      <c r="J9" s="1"/>
      <c r="K9" s="5"/>
      <c r="L9" s="5"/>
      <c r="M9" s="1" t="s">
        <v>914</v>
      </c>
    </row>
    <row r="10" spans="1:13" ht="210" x14ac:dyDescent="0.25">
      <c r="A10" s="1" t="str">
        <f>IF(receta!A10="","",receta!A10)</f>
        <v>Andes Refresh</v>
      </c>
      <c r="B10" s="4" t="s">
        <v>622</v>
      </c>
      <c r="C10" s="4" t="s">
        <v>621</v>
      </c>
      <c r="D10" s="1"/>
      <c r="E10" s="11"/>
      <c r="F10" s="1"/>
      <c r="G10" s="11"/>
      <c r="H10" s="11"/>
      <c r="I10" s="1"/>
      <c r="J10" s="11"/>
      <c r="K10" s="1"/>
      <c r="L10" s="1"/>
      <c r="M10" s="1"/>
    </row>
    <row r="11" spans="1:13" ht="390" x14ac:dyDescent="0.25">
      <c r="A11" s="1" t="str">
        <f>IF(receta!A11="","",receta!A11)</f>
        <v>Aperol Spritz</v>
      </c>
      <c r="B11" s="4" t="s">
        <v>1082</v>
      </c>
      <c r="C11" s="4" t="s">
        <v>599</v>
      </c>
      <c r="D11" s="4" t="s">
        <v>598</v>
      </c>
      <c r="E11" s="1"/>
      <c r="F11" s="1"/>
      <c r="G11" s="1"/>
      <c r="H11" s="1"/>
      <c r="I11" s="1"/>
      <c r="J11" s="1"/>
      <c r="K11" s="1"/>
      <c r="L11" s="1"/>
      <c r="M11" s="4" t="s">
        <v>1057</v>
      </c>
    </row>
    <row r="12" spans="1:13" ht="409.5" x14ac:dyDescent="0.25">
      <c r="A12" s="1" t="str">
        <f>IF(receta!A12="","",receta!A12)</f>
        <v>Arándano Sour</v>
      </c>
      <c r="B12" s="4" t="s">
        <v>668</v>
      </c>
      <c r="C12" s="4" t="s">
        <v>623</v>
      </c>
      <c r="D12" s="4" t="s">
        <v>553</v>
      </c>
      <c r="E12" s="1"/>
      <c r="F12" s="1"/>
      <c r="G12" s="1"/>
      <c r="H12" s="1"/>
      <c r="I12" s="1"/>
      <c r="J12" s="1"/>
      <c r="K12" s="1"/>
      <c r="L12" s="1"/>
      <c r="M12" s="1"/>
    </row>
    <row r="13" spans="1:13" ht="195" x14ac:dyDescent="0.25">
      <c r="A13" s="1" t="str">
        <f>IF(receta!A13="","",receta!A13)</f>
        <v>Bellini</v>
      </c>
      <c r="B13" s="1"/>
      <c r="C13" s="4" t="s">
        <v>449</v>
      </c>
      <c r="D13" s="4" t="s">
        <v>420</v>
      </c>
      <c r="E13" s="1"/>
      <c r="F13" s="1"/>
      <c r="G13" s="1"/>
      <c r="H13" s="1"/>
      <c r="I13" s="1"/>
      <c r="J13" s="1"/>
      <c r="K13" s="1"/>
      <c r="L13" s="1"/>
      <c r="M13" s="4" t="s">
        <v>969</v>
      </c>
    </row>
    <row r="14" spans="1:13" ht="409.5" x14ac:dyDescent="0.25">
      <c r="A14" s="1" t="str">
        <f>IF(receta!A14="","",receta!A14)</f>
        <v>Bello Barrio</v>
      </c>
      <c r="B14" s="1"/>
      <c r="C14" s="1" t="s">
        <v>371</v>
      </c>
      <c r="D14" s="4" t="s">
        <v>396</v>
      </c>
      <c r="E14" s="1"/>
      <c r="F14" s="1"/>
      <c r="G14" s="1"/>
      <c r="H14" s="1" t="s">
        <v>327</v>
      </c>
      <c r="I14" s="1" t="s">
        <v>254</v>
      </c>
      <c r="J14" s="1"/>
      <c r="K14" s="1"/>
      <c r="L14" s="1"/>
      <c r="M14" s="4" t="s">
        <v>915</v>
      </c>
    </row>
    <row r="15" spans="1:13" ht="409.5" x14ac:dyDescent="0.25">
      <c r="A15" s="1" t="str">
        <f>IF(receta!A15="","",receta!A15)</f>
        <v>Bitter Batido</v>
      </c>
      <c r="B15" s="1"/>
      <c r="C15" s="4" t="s">
        <v>542</v>
      </c>
      <c r="D15" s="4" t="s">
        <v>378</v>
      </c>
      <c r="E15" s="1"/>
      <c r="F15" s="1"/>
      <c r="G15" s="1"/>
      <c r="H15" s="1"/>
      <c r="I15" s="1"/>
      <c r="J15" s="1"/>
      <c r="K15" s="1"/>
      <c r="L15" s="1"/>
      <c r="M15" s="4" t="s">
        <v>1039</v>
      </c>
    </row>
    <row r="16" spans="1:13" ht="60" x14ac:dyDescent="0.25">
      <c r="A16" s="1" t="str">
        <f>IF(receta!A16="","",receta!A16)</f>
        <v>Blanco de Verano</v>
      </c>
      <c r="B16" s="13"/>
      <c r="C16" s="1"/>
      <c r="D16" s="1"/>
      <c r="E16" s="1" t="s">
        <v>962</v>
      </c>
      <c r="F16" s="5" t="s">
        <v>961</v>
      </c>
      <c r="G16" s="4" t="s">
        <v>965</v>
      </c>
      <c r="H16" s="1"/>
      <c r="I16" s="1"/>
      <c r="J16" s="1"/>
      <c r="K16" s="1"/>
      <c r="L16" s="1"/>
      <c r="M16" s="1"/>
    </row>
    <row r="17" spans="1:13" ht="390" x14ac:dyDescent="0.25">
      <c r="A17" s="1" t="str">
        <f>IF(receta!A17="","",receta!A17)</f>
        <v>Bloody Mary</v>
      </c>
      <c r="B17" s="1"/>
      <c r="C17" s="4" t="s">
        <v>450</v>
      </c>
      <c r="D17" s="4" t="s">
        <v>157</v>
      </c>
      <c r="E17" s="4" t="s">
        <v>452</v>
      </c>
      <c r="F17" s="10" t="s">
        <v>451</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445</v>
      </c>
      <c r="D19" s="4"/>
      <c r="E19" s="1" t="s">
        <v>443</v>
      </c>
      <c r="F19" s="1" t="s">
        <v>442</v>
      </c>
      <c r="G19" s="1"/>
      <c r="H19" s="1"/>
      <c r="I19" s="1"/>
      <c r="J19" s="1"/>
      <c r="K19" s="1"/>
      <c r="L19" s="1"/>
      <c r="M19" s="4" t="s">
        <v>970</v>
      </c>
    </row>
    <row r="20" spans="1:13" ht="120" x14ac:dyDescent="0.25">
      <c r="A20" s="1" t="str">
        <f>IF(receta!A20="","",receta!A20)</f>
        <v>Blue Hawaiian</v>
      </c>
      <c r="B20" s="1"/>
      <c r="C20" s="4" t="s">
        <v>444</v>
      </c>
      <c r="D20" s="4"/>
      <c r="E20" s="1" t="s">
        <v>332</v>
      </c>
      <c r="F20" s="1" t="s">
        <v>331</v>
      </c>
      <c r="G20" s="1"/>
      <c r="H20" s="1"/>
      <c r="I20" s="1"/>
      <c r="J20" s="1"/>
      <c r="K20" s="1"/>
      <c r="L20" s="1"/>
      <c r="M20" s="1"/>
    </row>
    <row r="21" spans="1:13" ht="135" x14ac:dyDescent="0.25">
      <c r="A21" s="1" t="str">
        <f>IF(receta!A21="","",receta!A21)</f>
        <v>Borgoña</v>
      </c>
      <c r="B21" s="4" t="s">
        <v>736</v>
      </c>
      <c r="C21" s="4" t="s">
        <v>695</v>
      </c>
      <c r="D21" s="4"/>
      <c r="E21" s="1"/>
      <c r="F21" s="1"/>
      <c r="G21" s="1"/>
      <c r="H21" s="1" t="s">
        <v>454</v>
      </c>
      <c r="I21" s="1" t="s">
        <v>453</v>
      </c>
      <c r="J21" s="1"/>
      <c r="K21" s="1"/>
      <c r="L21" s="1"/>
      <c r="M21" s="4" t="s">
        <v>917</v>
      </c>
    </row>
    <row r="22" spans="1:13" ht="375" x14ac:dyDescent="0.25">
      <c r="A22" s="1" t="str">
        <f>IF(receta!A22="","",receta!A22)</f>
        <v>Caipiriña</v>
      </c>
      <c r="B22" s="4" t="s">
        <v>624</v>
      </c>
      <c r="C22" s="4" t="s">
        <v>733</v>
      </c>
      <c r="D22" s="1"/>
      <c r="E22" s="1" t="s">
        <v>570</v>
      </c>
      <c r="F22" s="5" t="s">
        <v>571</v>
      </c>
      <c r="G22" s="5"/>
      <c r="H22" s="1"/>
      <c r="I22" s="1"/>
      <c r="J22" s="1"/>
      <c r="K22" s="5"/>
      <c r="L22" s="5"/>
      <c r="M22" s="4" t="s">
        <v>1069</v>
      </c>
    </row>
    <row r="23" spans="1:13" ht="105" x14ac:dyDescent="0.25">
      <c r="A23" s="1" t="str">
        <f>IF(receta!A23="","",receta!A23)</f>
        <v>Campari &amp; Vermouth Tonic</v>
      </c>
      <c r="B23" s="3"/>
      <c r="C23" s="3"/>
      <c r="D23" s="4" t="s">
        <v>421</v>
      </c>
      <c r="E23" s="1"/>
      <c r="F23" s="1"/>
      <c r="G23" s="1"/>
      <c r="H23" s="1"/>
      <c r="I23" s="1"/>
      <c r="J23" s="1"/>
      <c r="K23" s="1"/>
      <c r="L23" s="1"/>
      <c r="M23" s="4" t="s">
        <v>983</v>
      </c>
    </row>
    <row r="24" spans="1:13" ht="345" x14ac:dyDescent="0.25">
      <c r="A24" s="1" t="str">
        <f>IF(receta!A24="","",receta!A24)</f>
        <v>Carajillo</v>
      </c>
      <c r="B24" s="1"/>
      <c r="C24" s="4" t="s">
        <v>543</v>
      </c>
      <c r="D24" s="1"/>
      <c r="E24" s="1" t="s">
        <v>174</v>
      </c>
      <c r="F24" s="5" t="s">
        <v>175</v>
      </c>
      <c r="G24" s="5"/>
      <c r="H24" s="1"/>
      <c r="I24" s="1"/>
      <c r="J24" s="1"/>
      <c r="K24" s="5"/>
      <c r="L24" s="5"/>
      <c r="M24" s="1"/>
    </row>
    <row r="25" spans="1:13" ht="360" x14ac:dyDescent="0.25">
      <c r="A25" s="1" t="str">
        <f>IF(receta!A25="","",receta!A25)</f>
        <v>Chilcano</v>
      </c>
      <c r="B25" s="1"/>
      <c r="C25" s="4" t="s">
        <v>455</v>
      </c>
      <c r="D25" s="4" t="s">
        <v>457</v>
      </c>
      <c r="E25" s="1"/>
      <c r="F25" s="1"/>
      <c r="G25" s="1"/>
      <c r="H25" s="1"/>
      <c r="I25" s="5"/>
      <c r="J25" s="1"/>
      <c r="K25" s="1"/>
      <c r="L25" s="1"/>
      <c r="M25" s="4" t="s">
        <v>972</v>
      </c>
    </row>
    <row r="26" spans="1:13" ht="409.5" x14ac:dyDescent="0.25">
      <c r="A26" s="1" t="str">
        <f>IF(receta!A26="","",receta!A26)</f>
        <v>Chuflay</v>
      </c>
      <c r="B26" s="1"/>
      <c r="C26" s="4" t="s">
        <v>490</v>
      </c>
      <c r="D26" s="4" t="s">
        <v>489</v>
      </c>
      <c r="E26" s="1"/>
      <c r="F26" s="1"/>
      <c r="G26" s="1"/>
      <c r="H26" s="4" t="s">
        <v>488</v>
      </c>
      <c r="I26" s="1" t="s">
        <v>487</v>
      </c>
      <c r="J26" s="1"/>
      <c r="K26" s="1"/>
      <c r="L26" s="1"/>
      <c r="M26" s="4" t="s">
        <v>989</v>
      </c>
    </row>
    <row r="27" spans="1:13" ht="375" x14ac:dyDescent="0.25">
      <c r="A27" s="1" t="str">
        <f>IF(receta!A27="","",receta!A27)</f>
        <v>Chupilca</v>
      </c>
      <c r="B27" s="4" t="s">
        <v>693</v>
      </c>
      <c r="C27" s="4" t="s">
        <v>677</v>
      </c>
      <c r="D27" s="4" t="s">
        <v>675</v>
      </c>
      <c r="E27" s="1"/>
      <c r="F27" s="1"/>
      <c r="G27" s="1"/>
      <c r="H27" s="1"/>
      <c r="I27" s="1"/>
      <c r="J27" s="1"/>
      <c r="K27" s="1"/>
      <c r="L27" s="1"/>
      <c r="M27" s="4" t="s">
        <v>973</v>
      </c>
    </row>
    <row r="28" spans="1:13" ht="409.5" x14ac:dyDescent="0.25">
      <c r="A28" s="1" t="str">
        <f>IF(receta!A28="","",receta!A28)</f>
        <v>Cimarrón</v>
      </c>
      <c r="B28" s="1"/>
      <c r="C28" s="4" t="s">
        <v>458</v>
      </c>
      <c r="D28" s="4" t="s">
        <v>1050</v>
      </c>
      <c r="E28" s="1" t="s">
        <v>528</v>
      </c>
      <c r="F28" s="1" t="s">
        <v>527</v>
      </c>
      <c r="G28" s="5"/>
      <c r="H28" s="5"/>
      <c r="I28" s="5"/>
      <c r="J28" s="1" t="s">
        <v>1052</v>
      </c>
      <c r="K28" s="5" t="s">
        <v>1051</v>
      </c>
      <c r="L28" s="5"/>
      <c r="M28" s="4" t="s">
        <v>918</v>
      </c>
    </row>
    <row r="29" spans="1:13" ht="360" x14ac:dyDescent="0.25">
      <c r="A29" s="1" t="str">
        <f>IF(receta!A29="","",receta!A29)</f>
        <v>Clavo Oxidado</v>
      </c>
      <c r="B29" s="1"/>
      <c r="C29" s="4" t="s">
        <v>503</v>
      </c>
      <c r="D29" s="1"/>
      <c r="E29" s="1" t="s">
        <v>495</v>
      </c>
      <c r="F29" s="1" t="s">
        <v>494</v>
      </c>
      <c r="G29" s="1"/>
      <c r="H29" s="1"/>
      <c r="I29" s="5"/>
      <c r="J29" s="1"/>
      <c r="K29" s="1"/>
      <c r="L29" s="1"/>
      <c r="M29" s="4" t="s">
        <v>928</v>
      </c>
    </row>
    <row r="30" spans="1:13" ht="409.5" x14ac:dyDescent="0.25">
      <c r="A30" s="1" t="str">
        <f>IF(receta!A30="","",receta!A30)</f>
        <v>Cléry</v>
      </c>
      <c r="B30" s="4" t="s">
        <v>737</v>
      </c>
      <c r="C30" s="4" t="s">
        <v>667</v>
      </c>
      <c r="D30" s="4" t="s">
        <v>916</v>
      </c>
      <c r="E30" s="1"/>
      <c r="F30" s="1"/>
      <c r="G30" s="1"/>
      <c r="H30" s="1"/>
      <c r="I30" s="1"/>
      <c r="J30" s="1"/>
      <c r="K30" s="1"/>
      <c r="L30" s="1"/>
      <c r="M30" s="4" t="s">
        <v>929</v>
      </c>
    </row>
    <row r="31" spans="1:13" ht="409.5" x14ac:dyDescent="0.25">
      <c r="A31" s="1" t="str">
        <f>IF(receta!A31="","",receta!A31)</f>
        <v>Cléry Chirimoya</v>
      </c>
      <c r="B31" s="4" t="s">
        <v>738</v>
      </c>
      <c r="C31" s="4" t="s">
        <v>667</v>
      </c>
      <c r="D31" s="4" t="s">
        <v>425</v>
      </c>
      <c r="E31" s="1" t="s">
        <v>999</v>
      </c>
      <c r="F31" s="5" t="s">
        <v>996</v>
      </c>
      <c r="G31" s="4" t="s">
        <v>997</v>
      </c>
      <c r="H31" s="1"/>
      <c r="I31" s="1"/>
      <c r="J31" s="1"/>
      <c r="K31" s="1"/>
      <c r="L31" s="1"/>
      <c r="M31" s="4" t="s">
        <v>974</v>
      </c>
    </row>
    <row r="32" spans="1:13" ht="240" x14ac:dyDescent="0.25">
      <c r="A32" s="1" t="str">
        <f>IF(receta!A32="","",receta!A32)</f>
        <v>Cléry Durazno</v>
      </c>
      <c r="B32" s="4" t="s">
        <v>739</v>
      </c>
      <c r="C32" s="4" t="s">
        <v>667</v>
      </c>
      <c r="D32" s="1"/>
      <c r="E32" s="1" t="s">
        <v>335</v>
      </c>
      <c r="F32" s="5" t="s">
        <v>334</v>
      </c>
      <c r="G32" s="5"/>
      <c r="H32" s="1"/>
      <c r="I32" s="1"/>
      <c r="J32" s="1"/>
      <c r="K32" s="5"/>
      <c r="L32" s="5"/>
      <c r="M32" s="1"/>
    </row>
    <row r="33" spans="1:13" ht="409.5" x14ac:dyDescent="0.25">
      <c r="A33" s="1" t="str">
        <f>IF(receta!A33="","",receta!A33)</f>
        <v>Clover Club</v>
      </c>
      <c r="B33" s="4" t="s">
        <v>725</v>
      </c>
      <c r="C33" s="4" t="s">
        <v>839</v>
      </c>
      <c r="D33" s="4" t="s">
        <v>548</v>
      </c>
      <c r="E33" s="4" t="s">
        <v>549</v>
      </c>
      <c r="F33" s="1" t="s">
        <v>547</v>
      </c>
      <c r="G33" s="1"/>
      <c r="H33" s="1"/>
      <c r="I33" s="1"/>
      <c r="J33" s="4"/>
      <c r="K33" s="1"/>
      <c r="L33" s="1"/>
      <c r="M33" s="4" t="s">
        <v>879</v>
      </c>
    </row>
    <row r="34" spans="1:13" ht="255" x14ac:dyDescent="0.25">
      <c r="A34" s="1" t="str">
        <f>IF(receta!A34="","",receta!A34)</f>
        <v>Cordillera</v>
      </c>
      <c r="B34" s="1"/>
      <c r="C34" s="4" t="s">
        <v>662</v>
      </c>
      <c r="D34" s="4"/>
      <c r="E34" s="1" t="s">
        <v>244</v>
      </c>
      <c r="F34" s="5" t="s">
        <v>245</v>
      </c>
      <c r="G34" s="5"/>
      <c r="H34" s="1"/>
      <c r="I34" s="1"/>
      <c r="J34" s="1"/>
      <c r="K34" s="5"/>
      <c r="L34" s="5"/>
      <c r="M34" s="4" t="s">
        <v>975</v>
      </c>
    </row>
    <row r="35" spans="1:13" ht="45" x14ac:dyDescent="0.25">
      <c r="A35" s="1" t="str">
        <f>IF(receta!A35="","",receta!A35)</f>
        <v>Cosmo Patagonia</v>
      </c>
      <c r="B35" s="4" t="s">
        <v>731</v>
      </c>
      <c r="C35" s="4" t="s">
        <v>625</v>
      </c>
      <c r="D35" s="4"/>
      <c r="E35" s="1"/>
      <c r="F35" s="1"/>
      <c r="G35" s="1"/>
      <c r="H35" s="1"/>
      <c r="I35" s="5"/>
      <c r="J35" s="1"/>
      <c r="K35" s="1"/>
      <c r="L35" s="1"/>
      <c r="M35" s="1"/>
    </row>
    <row r="36" spans="1:13" ht="165" x14ac:dyDescent="0.25">
      <c r="A36" s="1" t="str">
        <f>IF(receta!A36="","",receta!A36)</f>
        <v>Cosmopolitan</v>
      </c>
      <c r="B36" s="1"/>
      <c r="C36" s="4" t="s">
        <v>536</v>
      </c>
      <c r="D36" s="1"/>
      <c r="E36" s="1"/>
      <c r="F36" s="1"/>
      <c r="G36" s="1"/>
      <c r="H36" s="1"/>
      <c r="I36" s="1"/>
      <c r="J36" s="1"/>
      <c r="K36" s="1"/>
      <c r="L36" s="1"/>
      <c r="M36" s="1" t="s">
        <v>956</v>
      </c>
    </row>
    <row r="37" spans="1:13" ht="120" x14ac:dyDescent="0.25">
      <c r="A37" s="1" t="str">
        <f>IF(receta!A37="","",receta!A37)</f>
        <v>Crepúsculo</v>
      </c>
      <c r="B37" s="4" t="s">
        <v>627</v>
      </c>
      <c r="C37" s="4" t="s">
        <v>626</v>
      </c>
      <c r="D37" s="1"/>
      <c r="E37" s="4" t="s">
        <v>247</v>
      </c>
      <c r="F37" s="5" t="s">
        <v>246</v>
      </c>
      <c r="G37" s="5"/>
      <c r="H37" s="1"/>
      <c r="I37" s="1"/>
      <c r="J37" s="4"/>
      <c r="K37" s="5"/>
      <c r="L37" s="5"/>
      <c r="M37" s="4" t="s">
        <v>939</v>
      </c>
    </row>
    <row r="38" spans="1:13" ht="255" x14ac:dyDescent="0.25">
      <c r="A38" s="1" t="str">
        <f>IF(receta!A38="","",receta!A38)</f>
        <v>Cuba Libre</v>
      </c>
      <c r="B38" s="1"/>
      <c r="C38" s="4" t="s">
        <v>534</v>
      </c>
      <c r="D38" s="1"/>
      <c r="E38" s="1" t="s">
        <v>511</v>
      </c>
      <c r="F38" s="5" t="s">
        <v>510</v>
      </c>
      <c r="G38" s="5"/>
      <c r="H38" s="1"/>
      <c r="I38" s="1"/>
      <c r="J38" s="1"/>
      <c r="K38" s="5"/>
      <c r="L38" s="5"/>
      <c r="M38" s="4" t="s">
        <v>986</v>
      </c>
    </row>
    <row r="39" spans="1:13" ht="135" x14ac:dyDescent="0.25">
      <c r="A39" s="1" t="str">
        <f>IF(receta!A39="","",receta!A39)</f>
        <v>Cynar Spritz</v>
      </c>
      <c r="B39" s="4" t="s">
        <v>1082</v>
      </c>
      <c r="C39" s="4" t="s">
        <v>333</v>
      </c>
      <c r="D39" s="1"/>
      <c r="E39" s="1"/>
      <c r="F39" s="1"/>
      <c r="G39" s="1"/>
      <c r="H39" s="1"/>
      <c r="I39" s="1"/>
      <c r="J39" s="1"/>
      <c r="K39" s="1"/>
      <c r="L39" s="1"/>
      <c r="M39" s="4" t="s">
        <v>1053</v>
      </c>
    </row>
    <row r="40" spans="1:13" ht="60" x14ac:dyDescent="0.25">
      <c r="A40" s="1" t="str">
        <f>IF(receta!A40="","",receta!A40)</f>
        <v>Daiquiri</v>
      </c>
      <c r="B40" s="1"/>
      <c r="C40" s="4" t="s">
        <v>346</v>
      </c>
      <c r="D40" s="1"/>
      <c r="E40" s="4" t="s">
        <v>406</v>
      </c>
      <c r="F40" s="5" t="s">
        <v>405</v>
      </c>
      <c r="G40" s="5"/>
      <c r="H40" s="1" t="s">
        <v>924</v>
      </c>
      <c r="I40" s="5" t="s">
        <v>925</v>
      </c>
      <c r="J40" s="4"/>
      <c r="K40" s="5"/>
      <c r="L40" s="5"/>
      <c r="M40" s="4" t="s">
        <v>936</v>
      </c>
    </row>
    <row r="41" spans="1:13" ht="225" x14ac:dyDescent="0.25">
      <c r="A41" s="1" t="str">
        <f>IF(receta!A41="","",receta!A41)</f>
        <v>Dama Blanca</v>
      </c>
      <c r="B41" s="4" t="s">
        <v>725</v>
      </c>
      <c r="C41" s="4" t="s">
        <v>1058</v>
      </c>
      <c r="D41" s="4"/>
      <c r="E41" s="1"/>
      <c r="F41" s="1"/>
      <c r="G41" s="1"/>
      <c r="H41" s="1"/>
      <c r="I41" s="1"/>
      <c r="J41" s="1"/>
      <c r="K41" s="1"/>
      <c r="L41" s="1"/>
      <c r="M41" s="4" t="s">
        <v>1056</v>
      </c>
    </row>
    <row r="42" spans="1:13" ht="120" x14ac:dyDescent="0.25">
      <c r="A42" s="1" t="str">
        <f>IF(receta!A42="","",receta!A42)</f>
        <v>Dark &amp; Stormy</v>
      </c>
      <c r="B42" s="1"/>
      <c r="C42" s="4" t="s">
        <v>459</v>
      </c>
      <c r="D42" s="1"/>
      <c r="E42" s="1" t="s">
        <v>461</v>
      </c>
      <c r="F42" s="1" t="s">
        <v>460</v>
      </c>
      <c r="G42" s="1"/>
      <c r="H42" s="1"/>
      <c r="I42" s="1"/>
      <c r="J42" s="1"/>
      <c r="K42" s="1"/>
      <c r="L42" s="1"/>
      <c r="M42" s="4" t="s">
        <v>920</v>
      </c>
    </row>
    <row r="43" spans="1:13" ht="270" x14ac:dyDescent="0.25">
      <c r="A43" s="1" t="str">
        <f>IF(receta!A43="","",receta!A43)</f>
        <v>Destornillador</v>
      </c>
      <c r="B43" s="1"/>
      <c r="C43" s="4" t="s">
        <v>590</v>
      </c>
      <c r="D43" s="4" t="s">
        <v>591</v>
      </c>
      <c r="E43" s="1"/>
      <c r="F43" s="5"/>
      <c r="G43" s="5"/>
      <c r="H43" s="1" t="s">
        <v>257</v>
      </c>
      <c r="I43" s="5" t="s">
        <v>258</v>
      </c>
      <c r="J43" s="1"/>
      <c r="K43" s="5"/>
      <c r="L43" s="5"/>
      <c r="M43" s="4" t="s">
        <v>921</v>
      </c>
    </row>
    <row r="44" spans="1:13" ht="135" x14ac:dyDescent="0.25">
      <c r="A44" s="1" t="str">
        <f>IF(receta!A44="","",receta!A44)</f>
        <v>Doug's Death</v>
      </c>
      <c r="B44" s="1"/>
      <c r="C44" s="4" t="s">
        <v>446</v>
      </c>
      <c r="D44" s="1"/>
      <c r="E44" s="1"/>
      <c r="F44" s="1"/>
      <c r="G44" s="1"/>
      <c r="H44" s="1"/>
      <c r="I44" s="5"/>
      <c r="J44" s="1"/>
      <c r="K44" s="1"/>
      <c r="L44" s="1"/>
      <c r="M44" s="1"/>
    </row>
    <row r="45" spans="1:13" ht="409.5" x14ac:dyDescent="0.25">
      <c r="A45" s="1" t="str">
        <f>IF(receta!A45="","",receta!A45)</f>
        <v>Dry Martini</v>
      </c>
      <c r="B45" s="4" t="s">
        <v>628</v>
      </c>
      <c r="C45" s="4" t="s">
        <v>694</v>
      </c>
      <c r="D45" s="4" t="s">
        <v>392</v>
      </c>
      <c r="E45" s="1"/>
      <c r="F45" s="1"/>
      <c r="G45" s="1"/>
      <c r="H45" s="1"/>
      <c r="I45" s="1"/>
      <c r="J45" s="1"/>
      <c r="K45" s="1"/>
      <c r="L45" s="1"/>
      <c r="M45" s="4" t="s">
        <v>1042</v>
      </c>
    </row>
    <row r="46" spans="1:13" ht="285" x14ac:dyDescent="0.25">
      <c r="A46" s="1" t="str">
        <f>IF(receta!A46="","",receta!A46)</f>
        <v>El Amor en los Tiempos del Covid</v>
      </c>
      <c r="B46" s="4" t="s">
        <v>740</v>
      </c>
      <c r="C46" s="4"/>
      <c r="D46" s="4" t="s">
        <v>984</v>
      </c>
      <c r="E46" s="4" t="s">
        <v>185</v>
      </c>
      <c r="F46" s="5" t="s">
        <v>184</v>
      </c>
      <c r="G46" s="5"/>
      <c r="H46" s="1"/>
      <c r="I46" s="1"/>
      <c r="J46" s="4" t="s">
        <v>1030</v>
      </c>
      <c r="K46" s="5" t="s">
        <v>1029</v>
      </c>
      <c r="L46" s="4" t="s">
        <v>1031</v>
      </c>
      <c r="M46" s="4" t="s">
        <v>983</v>
      </c>
    </row>
    <row r="47" spans="1:13" ht="240" x14ac:dyDescent="0.25">
      <c r="A47" s="1" t="str">
        <f>IF(receta!A47="","",receta!A47)</f>
        <v>Enemigo Íntimo</v>
      </c>
      <c r="B47" s="1"/>
      <c r="C47" s="4" t="s">
        <v>379</v>
      </c>
      <c r="D47" s="4" t="s">
        <v>306</v>
      </c>
      <c r="E47" s="1" t="s">
        <v>302</v>
      </c>
      <c r="F47" s="5" t="s">
        <v>303</v>
      </c>
      <c r="G47" s="5"/>
      <c r="H47" s="4"/>
      <c r="I47" s="5"/>
      <c r="J47" s="1"/>
      <c r="K47" s="5"/>
      <c r="L47" s="5"/>
      <c r="M47" s="4" t="s">
        <v>935</v>
      </c>
    </row>
    <row r="48" spans="1:13" ht="315" x14ac:dyDescent="0.25">
      <c r="A48" s="1" t="str">
        <f>IF(receta!A48="","",receta!A48)</f>
        <v>Escarabajo</v>
      </c>
      <c r="B48" s="1"/>
      <c r="C48" s="4" t="s">
        <v>380</v>
      </c>
      <c r="D48" s="4" t="s">
        <v>597</v>
      </c>
      <c r="E48" s="1" t="s">
        <v>595</v>
      </c>
      <c r="F48" s="5" t="s">
        <v>596</v>
      </c>
      <c r="G48" s="5"/>
      <c r="H48" s="1"/>
      <c r="I48" s="5"/>
      <c r="J48" s="1"/>
      <c r="K48" s="5"/>
      <c r="L48" s="5"/>
      <c r="M48" s="1"/>
    </row>
    <row r="49" spans="1:13" ht="270" x14ac:dyDescent="0.25">
      <c r="A49" s="1" t="str">
        <f>IF(receta!A49="","",receta!A49)</f>
        <v>Española</v>
      </c>
      <c r="B49" s="1"/>
      <c r="C49" s="4" t="s">
        <v>629</v>
      </c>
      <c r="D49" s="4" t="s">
        <v>372</v>
      </c>
      <c r="E49" s="1" t="s">
        <v>767</v>
      </c>
      <c r="F49" s="5" t="s">
        <v>768</v>
      </c>
      <c r="G49" s="4" t="s">
        <v>977</v>
      </c>
      <c r="H49" s="1"/>
      <c r="I49" s="1"/>
      <c r="J49" s="1"/>
      <c r="K49" s="1"/>
      <c r="L49" s="1"/>
      <c r="M49" s="4" t="s">
        <v>1001</v>
      </c>
    </row>
    <row r="50" spans="1:13" ht="255" x14ac:dyDescent="0.25">
      <c r="A50" s="1" t="str">
        <f>IF(receta!A50="","",receta!A50)</f>
        <v>Espiral</v>
      </c>
      <c r="B50" s="1"/>
      <c r="C50" s="4" t="s">
        <v>676</v>
      </c>
      <c r="D50" s="4"/>
      <c r="E50" s="4" t="s">
        <v>480</v>
      </c>
      <c r="F50" s="5" t="s">
        <v>481</v>
      </c>
      <c r="G50" s="4" t="s">
        <v>976</v>
      </c>
      <c r="H50" s="1" t="s">
        <v>326</v>
      </c>
      <c r="I50" s="5" t="s">
        <v>287</v>
      </c>
      <c r="J50" s="4"/>
      <c r="K50" s="5"/>
      <c r="L50" s="5"/>
      <c r="M50" s="4" t="s">
        <v>958</v>
      </c>
    </row>
    <row r="51" spans="1:13" ht="90" x14ac:dyDescent="0.25">
      <c r="A51" s="1" t="str">
        <f>IF(receta!A51="","",receta!A51)</f>
        <v>Espresso Martini</v>
      </c>
      <c r="B51" s="1"/>
      <c r="C51" s="4" t="s">
        <v>493</v>
      </c>
      <c r="D51" s="1"/>
      <c r="E51" s="1"/>
      <c r="F51" s="1"/>
      <c r="G51" s="1"/>
      <c r="H51" s="1"/>
      <c r="I51" s="1"/>
      <c r="J51" s="1"/>
      <c r="K51" s="1"/>
      <c r="L51" s="1"/>
      <c r="M51" s="1" t="s">
        <v>953</v>
      </c>
    </row>
    <row r="52" spans="1:13" ht="150" x14ac:dyDescent="0.25">
      <c r="A52" s="1" t="str">
        <f>IF(receta!A52="","",receta!A52)</f>
        <v>Estoy Verde</v>
      </c>
      <c r="B52" s="1"/>
      <c r="C52" s="1" t="s">
        <v>371</v>
      </c>
      <c r="D52" s="4" t="s">
        <v>476</v>
      </c>
      <c r="E52" s="1" t="s">
        <v>193</v>
      </c>
      <c r="F52" s="1" t="s">
        <v>192</v>
      </c>
      <c r="G52" s="1"/>
      <c r="H52" s="1" t="s">
        <v>505</v>
      </c>
      <c r="I52" s="1" t="s">
        <v>504</v>
      </c>
      <c r="J52" s="1"/>
      <c r="K52" s="1"/>
      <c r="L52" s="1"/>
      <c r="M52" s="4" t="s">
        <v>933</v>
      </c>
    </row>
    <row r="53" spans="1:13" ht="390" x14ac:dyDescent="0.25">
      <c r="A53" s="1" t="str">
        <f>IF(receta!A53="","",receta!A53)</f>
        <v>Fanshop</v>
      </c>
      <c r="B53" s="1"/>
      <c r="C53" s="4" t="s">
        <v>386</v>
      </c>
      <c r="D53" s="4" t="s">
        <v>402</v>
      </c>
      <c r="E53" s="1" t="s">
        <v>403</v>
      </c>
      <c r="F53" s="1" t="s">
        <v>404</v>
      </c>
      <c r="G53" s="4" t="s">
        <v>1000</v>
      </c>
      <c r="H53" s="1" t="s">
        <v>384</v>
      </c>
      <c r="I53" s="1" t="s">
        <v>383</v>
      </c>
      <c r="J53" s="1"/>
      <c r="K53" s="1"/>
      <c r="L53" s="1"/>
      <c r="M53" s="4" t="s">
        <v>990</v>
      </c>
    </row>
    <row r="54" spans="1:13" ht="120" x14ac:dyDescent="0.25">
      <c r="A54" s="1" t="str">
        <f>IF(receta!A54="","",receta!A54)</f>
        <v>Faro</v>
      </c>
      <c r="B54" s="1"/>
      <c r="C54" s="4" t="s">
        <v>680</v>
      </c>
      <c r="D54" s="4"/>
      <c r="E54" s="1"/>
      <c r="F54" s="5"/>
      <c r="G54" s="4"/>
      <c r="H54" s="1" t="s">
        <v>351</v>
      </c>
      <c r="I54" s="5" t="s">
        <v>290</v>
      </c>
      <c r="J54" s="1"/>
      <c r="K54" s="5"/>
      <c r="L54" s="5"/>
      <c r="M54" s="4" t="s">
        <v>911</v>
      </c>
    </row>
    <row r="55" spans="1:13" x14ac:dyDescent="0.25">
      <c r="A55" s="1" t="str">
        <f>IF(receta!A55="","",receta!A55)</f>
        <v>Feria Libre</v>
      </c>
      <c r="B55" s="1"/>
      <c r="C55" s="1" t="s">
        <v>371</v>
      </c>
      <c r="D55" s="1"/>
      <c r="E55" s="1" t="s">
        <v>183</v>
      </c>
      <c r="F55" s="5" t="s">
        <v>182</v>
      </c>
      <c r="G55" s="5"/>
      <c r="H55" s="1"/>
      <c r="I55" s="5"/>
      <c r="J55" s="1"/>
      <c r="K55" s="5"/>
      <c r="L55" s="5"/>
      <c r="M55" s="1"/>
    </row>
    <row r="56" spans="1:13" ht="409.5" x14ac:dyDescent="0.25">
      <c r="A56" s="1" t="str">
        <f>IF(receta!A56="","",receta!A56)</f>
        <v>Fernet con Coca</v>
      </c>
      <c r="B56" s="1"/>
      <c r="C56" s="4" t="s">
        <v>475</v>
      </c>
      <c r="D56" s="4" t="s">
        <v>395</v>
      </c>
      <c r="E56" s="1" t="s">
        <v>474</v>
      </c>
      <c r="F56" s="1" t="s">
        <v>473</v>
      </c>
      <c r="G56" s="4" t="s">
        <v>978</v>
      </c>
      <c r="H56" s="1"/>
      <c r="I56" s="1"/>
      <c r="J56" s="1"/>
      <c r="K56" s="1"/>
      <c r="L56" s="1"/>
      <c r="M56" s="4" t="s">
        <v>954</v>
      </c>
    </row>
    <row r="57" spans="1:13" ht="120" x14ac:dyDescent="0.25">
      <c r="A57" s="1" t="str">
        <f>IF(receta!A57="","",receta!A57)</f>
        <v>Ferroviario</v>
      </c>
      <c r="B57" s="1"/>
      <c r="C57" s="4" t="s">
        <v>362</v>
      </c>
      <c r="D57" s="4" t="s">
        <v>422</v>
      </c>
      <c r="E57" s="11" t="s">
        <v>172</v>
      </c>
      <c r="F57" s="5" t="s">
        <v>173</v>
      </c>
      <c r="G57" s="28"/>
      <c r="H57" s="11"/>
      <c r="I57" s="5"/>
      <c r="J57" s="1"/>
      <c r="K57" s="5"/>
      <c r="L57" s="5"/>
      <c r="M57" s="4" t="s">
        <v>960</v>
      </c>
    </row>
    <row r="58" spans="1:13" ht="150" x14ac:dyDescent="0.25">
      <c r="A58" s="1" t="str">
        <f>IF(receta!A58="","",receta!A58)</f>
        <v>Frangelico Sour</v>
      </c>
      <c r="B58" s="4" t="s">
        <v>725</v>
      </c>
      <c r="C58" s="4" t="s">
        <v>338</v>
      </c>
      <c r="D58" s="1"/>
      <c r="E58" s="1"/>
      <c r="F58" s="1"/>
      <c r="G58" s="1"/>
      <c r="H58" s="1"/>
      <c r="I58" s="1"/>
      <c r="J58" s="1"/>
      <c r="K58" s="1"/>
      <c r="L58" s="1"/>
      <c r="M58" s="4" t="s">
        <v>957</v>
      </c>
    </row>
    <row r="59" spans="1:13" ht="409.5" x14ac:dyDescent="0.25">
      <c r="A59" s="1" t="str">
        <f>IF(receta!A59="","",receta!A59)</f>
        <v>French 75</v>
      </c>
      <c r="B59" s="4" t="s">
        <v>631</v>
      </c>
      <c r="C59" s="4" t="s">
        <v>630</v>
      </c>
      <c r="D59" s="4" t="s">
        <v>358</v>
      </c>
      <c r="E59" s="1" t="s">
        <v>412</v>
      </c>
      <c r="F59" s="5" t="s">
        <v>411</v>
      </c>
      <c r="G59" s="5"/>
      <c r="H59" s="1"/>
      <c r="I59" s="1"/>
      <c r="J59" s="1"/>
      <c r="K59" s="5"/>
      <c r="L59" s="5"/>
      <c r="M59" s="4" t="s">
        <v>955</v>
      </c>
    </row>
    <row r="60" spans="1:13" ht="90" x14ac:dyDescent="0.25">
      <c r="A60" s="1" t="str">
        <f>IF(receta!A60="","",receta!A60)</f>
        <v>Garibaldi</v>
      </c>
      <c r="B60" s="1"/>
      <c r="C60" s="4" t="s">
        <v>339</v>
      </c>
      <c r="D60" s="1"/>
      <c r="E60" s="1"/>
      <c r="F60" s="1"/>
      <c r="G60" s="1"/>
      <c r="H60" s="4"/>
      <c r="I60" s="1"/>
      <c r="J60" s="1"/>
      <c r="K60" s="1"/>
      <c r="L60" s="1"/>
      <c r="M60" s="4" t="s">
        <v>979</v>
      </c>
    </row>
    <row r="61" spans="1:13" ht="165" x14ac:dyDescent="0.25">
      <c r="A61" s="1" t="str">
        <f>IF(receta!A61="","",receta!A61)</f>
        <v>Gimlet</v>
      </c>
      <c r="B61" s="1"/>
      <c r="C61" s="4" t="s">
        <v>336</v>
      </c>
      <c r="D61" s="4" t="s">
        <v>388</v>
      </c>
      <c r="E61" s="1" t="s">
        <v>906</v>
      </c>
      <c r="F61" s="5" t="s">
        <v>905</v>
      </c>
      <c r="G61" s="5"/>
      <c r="H61" s="4"/>
      <c r="I61" s="1"/>
      <c r="J61" s="1"/>
      <c r="K61" s="1"/>
      <c r="L61" s="1"/>
      <c r="M61" s="4" t="s">
        <v>907</v>
      </c>
    </row>
    <row r="62" spans="1:13" ht="345" x14ac:dyDescent="0.25">
      <c r="A62" s="1" t="str">
        <f>IF(receta!A62="","",receta!A62)</f>
        <v>Gin con Gin</v>
      </c>
      <c r="B62" s="1"/>
      <c r="C62" s="4" t="s">
        <v>734</v>
      </c>
      <c r="D62" s="1"/>
      <c r="E62" s="4" t="s">
        <v>407</v>
      </c>
      <c r="F62" s="5" t="s">
        <v>408</v>
      </c>
      <c r="G62" s="5"/>
      <c r="H62" s="4"/>
      <c r="I62" s="5"/>
      <c r="J62" s="4"/>
      <c r="K62" s="5"/>
      <c r="L62" s="5"/>
      <c r="M62" s="4" t="s">
        <v>988</v>
      </c>
    </row>
    <row r="63" spans="1:13" ht="409.5" x14ac:dyDescent="0.25">
      <c r="A63" s="1" t="str">
        <f>IF(receta!A63="","",receta!A63)</f>
        <v>Gin Tonic</v>
      </c>
      <c r="B63" s="1"/>
      <c r="C63" s="1"/>
      <c r="D63" s="4" t="s">
        <v>368</v>
      </c>
      <c r="E63" s="1" t="s">
        <v>159</v>
      </c>
      <c r="F63" s="5" t="s">
        <v>160</v>
      </c>
      <c r="G63" s="4"/>
      <c r="H63" s="4" t="s">
        <v>409</v>
      </c>
      <c r="I63" s="5" t="s">
        <v>337</v>
      </c>
      <c r="J63" s="1" t="s">
        <v>764</v>
      </c>
      <c r="K63" s="5" t="s">
        <v>765</v>
      </c>
      <c r="L63" s="4" t="s">
        <v>966</v>
      </c>
      <c r="M63" s="4" t="s">
        <v>927</v>
      </c>
    </row>
    <row r="64" spans="1:13" ht="135" x14ac:dyDescent="0.25">
      <c r="A64" s="1" t="str">
        <f>IF(receta!A64="","",receta!A64)</f>
        <v>Ginger Fire</v>
      </c>
      <c r="B64" s="1"/>
      <c r="C64" s="4" t="s">
        <v>692</v>
      </c>
      <c r="D64" s="1"/>
      <c r="E64" s="1"/>
      <c r="F64" s="1"/>
      <c r="G64" s="1"/>
      <c r="H64" s="1"/>
      <c r="I64" s="1"/>
      <c r="J64" s="1"/>
      <c r="K64" s="1"/>
      <c r="L64" s="1"/>
      <c r="M64" s="4" t="s">
        <v>987</v>
      </c>
    </row>
    <row r="65" spans="1:13" ht="409.5" x14ac:dyDescent="0.25">
      <c r="A65" s="1" t="str">
        <f>IF(receta!A65="","",receta!A65)</f>
        <v>Hemingway Daiquiri</v>
      </c>
      <c r="B65" s="1"/>
      <c r="C65" s="4" t="s">
        <v>632</v>
      </c>
      <c r="D65" s="4" t="s">
        <v>169</v>
      </c>
      <c r="E65" s="1"/>
      <c r="F65" s="1"/>
      <c r="G65" s="1"/>
      <c r="H65" s="1"/>
      <c r="I65" s="5"/>
      <c r="J65" s="1"/>
      <c r="K65" s="1"/>
      <c r="L65" s="1"/>
      <c r="M65" s="1" t="s">
        <v>923</v>
      </c>
    </row>
    <row r="66" spans="1:13" ht="375" x14ac:dyDescent="0.25">
      <c r="A66" s="1" t="str">
        <f>IF(receta!A66="","",receta!A66)</f>
        <v>Hugo</v>
      </c>
      <c r="B66" s="1" t="s">
        <v>1083</v>
      </c>
      <c r="C66" s="4" t="s">
        <v>732</v>
      </c>
      <c r="D66" s="4" t="s">
        <v>745</v>
      </c>
      <c r="E66" s="1"/>
      <c r="F66" s="1"/>
      <c r="G66" s="1"/>
      <c r="H66" s="1"/>
      <c r="I66" s="1"/>
      <c r="J66" s="1"/>
      <c r="K66" s="1"/>
      <c r="L66" s="1"/>
      <c r="M66" s="4" t="s">
        <v>1054</v>
      </c>
    </row>
    <row r="67" spans="1:13" ht="409.5" x14ac:dyDescent="0.25">
      <c r="A67" s="1" t="str">
        <f>IF(receta!A67="","",receta!A67)</f>
        <v>Incendio</v>
      </c>
      <c r="B67" s="1"/>
      <c r="C67" s="4" t="s">
        <v>381</v>
      </c>
      <c r="D67" s="4"/>
      <c r="E67" s="1" t="s">
        <v>220</v>
      </c>
      <c r="F67" s="5" t="s">
        <v>221</v>
      </c>
      <c r="G67" s="5"/>
      <c r="H67" s="1"/>
      <c r="I67" s="5"/>
      <c r="J67" s="1"/>
      <c r="K67" s="5"/>
      <c r="L67" s="5"/>
      <c r="M67" s="4" t="s">
        <v>950</v>
      </c>
    </row>
    <row r="68" spans="1:13" ht="330" x14ac:dyDescent="0.25">
      <c r="A68" s="1" t="str">
        <f>IF(receta!A68="","",receta!A68)</f>
        <v>Ingrata</v>
      </c>
      <c r="B68" s="1"/>
      <c r="C68" s="1" t="s">
        <v>944</v>
      </c>
      <c r="D68" s="4" t="s">
        <v>593</v>
      </c>
      <c r="E68" s="1" t="s">
        <v>165</v>
      </c>
      <c r="F68" s="5" t="s">
        <v>166</v>
      </c>
      <c r="G68" s="5"/>
      <c r="H68" s="1"/>
      <c r="I68" s="1"/>
      <c r="J68" s="1"/>
      <c r="K68" s="5"/>
      <c r="L68" s="5"/>
      <c r="M68" s="4" t="s">
        <v>943</v>
      </c>
    </row>
    <row r="69" spans="1:13" ht="300" x14ac:dyDescent="0.25">
      <c r="A69" s="1" t="str">
        <f>IF(receta!A69="","",receta!A69)</f>
        <v>Isla Negra</v>
      </c>
      <c r="B69" s="1"/>
      <c r="C69" s="4" t="s">
        <v>436</v>
      </c>
      <c r="D69" s="4" t="s">
        <v>430</v>
      </c>
      <c r="E69" s="1" t="s">
        <v>432</v>
      </c>
      <c r="F69" s="1" t="s">
        <v>431</v>
      </c>
      <c r="G69" s="1"/>
      <c r="H69" s="1"/>
      <c r="I69" s="1"/>
      <c r="J69" s="1"/>
      <c r="K69" s="1"/>
      <c r="L69" s="1"/>
      <c r="M69" s="4" t="s">
        <v>910</v>
      </c>
    </row>
    <row r="70" spans="1:13" ht="195" x14ac:dyDescent="0.25">
      <c r="A70" s="1" t="str">
        <f>IF(receta!A70="","",receta!A70)</f>
        <v>Jardín</v>
      </c>
      <c r="B70" s="1"/>
      <c r="C70" s="1" t="s">
        <v>371</v>
      </c>
      <c r="D70" s="4" t="s">
        <v>400</v>
      </c>
      <c r="E70" s="1" t="s">
        <v>398</v>
      </c>
      <c r="F70" s="1" t="s">
        <v>399</v>
      </c>
      <c r="G70" s="1"/>
      <c r="H70" s="1"/>
      <c r="I70" s="1"/>
      <c r="J70" s="1"/>
      <c r="K70" s="1"/>
      <c r="L70" s="1"/>
      <c r="M70" s="4" t="s">
        <v>940</v>
      </c>
    </row>
    <row r="71" spans="1:13" ht="225" x14ac:dyDescent="0.25">
      <c r="A71" s="1" t="str">
        <f>IF(receta!A71="","",receta!A71)</f>
        <v>John Collins</v>
      </c>
      <c r="B71" s="1"/>
      <c r="C71" s="4" t="s">
        <v>462</v>
      </c>
      <c r="D71" s="1"/>
      <c r="E71" s="1" t="s">
        <v>468</v>
      </c>
      <c r="F71" s="5" t="s">
        <v>467</v>
      </c>
      <c r="G71" s="5"/>
      <c r="H71" s="1"/>
      <c r="I71" s="5"/>
      <c r="J71" s="1"/>
      <c r="K71" s="5"/>
      <c r="L71" s="5"/>
      <c r="M71" s="4" t="s">
        <v>931</v>
      </c>
    </row>
    <row r="72" spans="1:13" ht="409.5" x14ac:dyDescent="0.25">
      <c r="A72" s="1" t="str">
        <f>IF(receta!A72="","",receta!A72)</f>
        <v>Jote</v>
      </c>
      <c r="B72" s="4" t="s">
        <v>634</v>
      </c>
      <c r="C72" s="4" t="s">
        <v>633</v>
      </c>
      <c r="D72" s="4" t="s">
        <v>867</v>
      </c>
      <c r="E72" s="1"/>
      <c r="F72" s="5"/>
      <c r="G72" s="5"/>
      <c r="H72" s="1" t="s">
        <v>415</v>
      </c>
      <c r="I72" s="5" t="s">
        <v>391</v>
      </c>
      <c r="J72" s="1"/>
      <c r="K72" s="5"/>
      <c r="L72" s="5"/>
      <c r="M72" s="4" t="s">
        <v>868</v>
      </c>
    </row>
    <row r="73" spans="1:13" ht="225" x14ac:dyDescent="0.25">
      <c r="A73" s="1" t="str">
        <f>IF(receta!A73="","",receta!A73)</f>
        <v>Julepe de Menta</v>
      </c>
      <c r="B73" s="4" t="s">
        <v>562</v>
      </c>
      <c r="C73" s="4"/>
      <c r="D73" s="4" t="s">
        <v>1065</v>
      </c>
      <c r="E73" s="1"/>
      <c r="F73" s="1"/>
      <c r="G73" s="1"/>
      <c r="H73" s="1"/>
      <c r="I73" s="1"/>
      <c r="J73" s="1"/>
      <c r="K73" s="1"/>
      <c r="L73" s="1"/>
      <c r="M73" s="4" t="s">
        <v>1066</v>
      </c>
    </row>
    <row r="74" spans="1:13" ht="409.5" x14ac:dyDescent="0.25">
      <c r="A74" s="1" t="str">
        <f>IF(receta!A74="","",receta!A74)</f>
        <v>Julieta Flowers</v>
      </c>
      <c r="B74" s="4" t="s">
        <v>704</v>
      </c>
      <c r="C74" s="4" t="s">
        <v>709</v>
      </c>
      <c r="D74" s="4" t="s">
        <v>707</v>
      </c>
      <c r="E74" s="1" t="s">
        <v>726</v>
      </c>
      <c r="F74" s="5" t="s">
        <v>727</v>
      </c>
      <c r="G74" s="5"/>
      <c r="H74" s="1" t="s">
        <v>729</v>
      </c>
      <c r="I74" s="5" t="s">
        <v>728</v>
      </c>
      <c r="J74" s="1"/>
      <c r="K74" s="5"/>
      <c r="L74" s="5"/>
      <c r="M74" s="1"/>
    </row>
    <row r="75" spans="1:13" ht="75" x14ac:dyDescent="0.25">
      <c r="A75" s="1" t="str">
        <f>IF(receta!A75="","",receta!A75)</f>
        <v>Kir Royal</v>
      </c>
      <c r="B75" s="1"/>
      <c r="C75" s="4" t="s">
        <v>321</v>
      </c>
      <c r="D75" s="4"/>
      <c r="E75" s="1"/>
      <c r="F75" s="1"/>
      <c r="G75" s="1"/>
      <c r="H75" s="1"/>
      <c r="I75" s="1"/>
      <c r="J75" s="1"/>
      <c r="K75" s="1"/>
      <c r="L75" s="1"/>
      <c r="M75" s="4" t="s">
        <v>1055</v>
      </c>
    </row>
    <row r="76" spans="1:13" ht="409.5" x14ac:dyDescent="0.25">
      <c r="A76" s="1" t="str">
        <f>IF(receta!A76="","",receta!A76)</f>
        <v>Kokomo</v>
      </c>
      <c r="B76" s="1"/>
      <c r="C76" s="4" t="s">
        <v>447</v>
      </c>
      <c r="D76" s="4" t="s">
        <v>270</v>
      </c>
      <c r="E76" s="1" t="s">
        <v>272</v>
      </c>
      <c r="F76" s="5" t="s">
        <v>271</v>
      </c>
      <c r="G76" s="5"/>
      <c r="H76" s="1"/>
      <c r="I76" s="1"/>
      <c r="J76" s="1"/>
      <c r="K76" s="5"/>
      <c r="L76" s="5"/>
      <c r="M76" s="1"/>
    </row>
    <row r="77" spans="1:13" ht="405" x14ac:dyDescent="0.25">
      <c r="A77" s="1" t="str">
        <f>IF(receta!A77="","",receta!A77)</f>
        <v>Laguna Azul</v>
      </c>
      <c r="B77" s="1"/>
      <c r="C77" s="4" t="s">
        <v>1011</v>
      </c>
      <c r="D77" s="4" t="s">
        <v>1012</v>
      </c>
      <c r="E77" s="1"/>
      <c r="F77" s="1"/>
      <c r="G77" s="1"/>
      <c r="H77" s="1"/>
      <c r="I77" s="1"/>
      <c r="J77" s="1"/>
      <c r="K77" s="1"/>
      <c r="L77" s="1"/>
      <c r="M77" s="4" t="s">
        <v>1010</v>
      </c>
    </row>
    <row r="78" spans="1:13" ht="30" x14ac:dyDescent="0.25">
      <c r="A78" s="1" t="str">
        <f>IF(receta!A78="","",receta!A78)</f>
        <v>London Mule</v>
      </c>
      <c r="B78" s="1"/>
      <c r="C78" s="4" t="s">
        <v>463</v>
      </c>
      <c r="D78" s="1"/>
      <c r="E78" s="1" t="s">
        <v>785</v>
      </c>
      <c r="F78" s="5" t="s">
        <v>784</v>
      </c>
      <c r="G78" s="5"/>
      <c r="H78" s="1"/>
      <c r="I78" s="1"/>
      <c r="J78" s="1" t="s">
        <v>787</v>
      </c>
      <c r="K78" s="5" t="s">
        <v>786</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723</v>
      </c>
      <c r="D81" s="4"/>
      <c r="E81" s="1"/>
      <c r="F81" s="1"/>
      <c r="G81" s="1"/>
      <c r="H81" s="1"/>
      <c r="I81" s="5"/>
      <c r="J81" s="1"/>
      <c r="K81" s="1"/>
      <c r="L81" s="1"/>
      <c r="M81" s="1"/>
    </row>
    <row r="82" spans="1:13" ht="240" x14ac:dyDescent="0.25">
      <c r="A82" s="1" t="str">
        <f>IF(receta!A82="","",receta!A82)</f>
        <v>Mai Tai Piña</v>
      </c>
      <c r="B82" s="4" t="s">
        <v>718</v>
      </c>
      <c r="C82" s="4" t="s">
        <v>721</v>
      </c>
      <c r="D82" s="4"/>
      <c r="E82" s="1"/>
      <c r="F82" s="1"/>
      <c r="G82" s="1"/>
      <c r="H82" s="1" t="s">
        <v>720</v>
      </c>
      <c r="I82" s="5" t="s">
        <v>722</v>
      </c>
      <c r="J82" s="1"/>
      <c r="K82" s="1"/>
      <c r="L82" s="1"/>
      <c r="M82" s="4" t="s">
        <v>1068</v>
      </c>
    </row>
    <row r="83" spans="1:13" ht="409.5" x14ac:dyDescent="0.25">
      <c r="A83" s="1" t="str">
        <f>IF(receta!A83="","",receta!A83)</f>
        <v>Mala Reputación</v>
      </c>
      <c r="B83" s="1"/>
      <c r="C83" s="4" t="s">
        <v>881</v>
      </c>
      <c r="D83" s="4" t="s">
        <v>304</v>
      </c>
      <c r="E83" s="1" t="s">
        <v>350</v>
      </c>
      <c r="F83" s="5" t="s">
        <v>349</v>
      </c>
      <c r="G83" s="5"/>
      <c r="H83" s="1"/>
      <c r="I83" s="5"/>
      <c r="J83" s="1"/>
      <c r="K83" s="5"/>
      <c r="L83" s="5"/>
      <c r="M83" s="4" t="s">
        <v>880</v>
      </c>
    </row>
    <row r="84" spans="1:13" ht="409.5" x14ac:dyDescent="0.25">
      <c r="A84" s="1" t="str">
        <f>IF(receta!A84="","",receta!A84)</f>
        <v>Malta con Huevo</v>
      </c>
      <c r="B84" s="4" t="s">
        <v>658</v>
      </c>
      <c r="C84" s="4" t="s">
        <v>659</v>
      </c>
      <c r="D84" s="4" t="s">
        <v>871</v>
      </c>
      <c r="E84" s="1"/>
      <c r="F84" s="1"/>
      <c r="G84" s="1"/>
      <c r="H84" s="1" t="s">
        <v>615</v>
      </c>
      <c r="I84" s="1" t="s">
        <v>614</v>
      </c>
      <c r="J84" s="1"/>
      <c r="K84" s="1"/>
      <c r="L84" s="1"/>
      <c r="M84" s="4" t="s">
        <v>981</v>
      </c>
    </row>
    <row r="85" spans="1:13" ht="240" x14ac:dyDescent="0.25">
      <c r="A85" s="1" t="str">
        <f>IF(receta!A85="","",receta!A85)</f>
        <v>Malta con Leche Condensada</v>
      </c>
      <c r="B85" s="4" t="s">
        <v>661</v>
      </c>
      <c r="C85" s="4" t="s">
        <v>660</v>
      </c>
      <c r="D85" s="4" t="s">
        <v>870</v>
      </c>
      <c r="E85" s="1"/>
      <c r="F85" s="1"/>
      <c r="G85" s="1"/>
      <c r="H85" s="1" t="s">
        <v>615</v>
      </c>
      <c r="I85" s="1" t="s">
        <v>614</v>
      </c>
      <c r="J85" s="1"/>
      <c r="K85" s="1"/>
      <c r="L85" s="1"/>
      <c r="M85" s="4" t="s">
        <v>982</v>
      </c>
    </row>
    <row r="86" spans="1:13" ht="30" x14ac:dyDescent="0.25">
      <c r="A86" s="1" t="str">
        <f>IF(receta!A86="","",receta!A86)</f>
        <v>Mango Sour</v>
      </c>
      <c r="B86" s="4" t="s">
        <v>670</v>
      </c>
      <c r="C86" s="4"/>
      <c r="D86" s="1"/>
      <c r="E86" s="1"/>
      <c r="F86" s="1"/>
      <c r="G86" s="1"/>
      <c r="H86" s="1"/>
      <c r="I86" s="5"/>
      <c r="J86" s="1"/>
      <c r="K86" s="1"/>
      <c r="L86" s="1"/>
      <c r="M86" s="1"/>
    </row>
    <row r="87" spans="1:13" ht="165" x14ac:dyDescent="0.25">
      <c r="A87" s="1" t="str">
        <f>IF(receta!A87="","",receta!A87)</f>
        <v>Manhattan</v>
      </c>
      <c r="B87" s="1"/>
      <c r="C87" s="4" t="s">
        <v>750</v>
      </c>
      <c r="D87" s="1"/>
      <c r="E87" s="1" t="s">
        <v>749</v>
      </c>
      <c r="F87" s="5" t="s">
        <v>748</v>
      </c>
      <c r="G87" s="5"/>
      <c r="H87" s="1" t="s">
        <v>751</v>
      </c>
      <c r="I87" s="5" t="s">
        <v>373</v>
      </c>
      <c r="J87" s="1"/>
      <c r="K87" s="5"/>
      <c r="L87" s="5"/>
      <c r="M87" s="4" t="s">
        <v>938</v>
      </c>
    </row>
    <row r="88" spans="1:13" ht="360" x14ac:dyDescent="0.25">
      <c r="A88" s="1" t="str">
        <f>IF(receta!A88="","",receta!A88)</f>
        <v>Maqui Sour</v>
      </c>
      <c r="B88" s="4" t="s">
        <v>741</v>
      </c>
      <c r="C88" s="4" t="s">
        <v>635</v>
      </c>
      <c r="D88" s="4" t="s">
        <v>1077</v>
      </c>
      <c r="E88" s="1"/>
      <c r="F88" s="1"/>
      <c r="G88" s="1"/>
      <c r="H88" s="1"/>
      <c r="I88" s="5"/>
      <c r="J88" s="1"/>
      <c r="K88" s="1"/>
      <c r="L88" s="1"/>
      <c r="M88" s="4" t="s">
        <v>1067</v>
      </c>
    </row>
    <row r="89" spans="1:13" ht="180" x14ac:dyDescent="0.25">
      <c r="A89" s="1" t="str">
        <f>IF(receta!A89="","",receta!A89)</f>
        <v>Margarita</v>
      </c>
      <c r="B89" s="4" t="s">
        <v>637</v>
      </c>
      <c r="C89" s="4" t="s">
        <v>636</v>
      </c>
      <c r="D89" s="1"/>
      <c r="E89" s="1" t="s">
        <v>181</v>
      </c>
      <c r="F89" s="5" t="s">
        <v>180</v>
      </c>
      <c r="G89" s="4" t="s">
        <v>1074</v>
      </c>
      <c r="H89" s="1"/>
      <c r="I89" s="1"/>
      <c r="J89" s="1"/>
      <c r="K89" s="5"/>
      <c r="L89" s="5"/>
      <c r="M89" s="4" t="s">
        <v>1072</v>
      </c>
    </row>
    <row r="90" spans="1:13" x14ac:dyDescent="0.25">
      <c r="A90" s="1" t="str">
        <f>IF(receta!A90="","",receta!A90)</f>
        <v>Margarita Maracuyá</v>
      </c>
      <c r="B90" s="1"/>
      <c r="C90" s="1"/>
      <c r="D90" s="1"/>
      <c r="E90" s="1" t="s">
        <v>589</v>
      </c>
      <c r="F90" s="5" t="s">
        <v>410</v>
      </c>
      <c r="G90" s="5"/>
      <c r="H90" s="1"/>
      <c r="I90" s="1"/>
      <c r="J90" s="1"/>
      <c r="K90" s="5"/>
      <c r="L90" s="5"/>
      <c r="M90" s="1"/>
    </row>
    <row r="91" spans="1:13" ht="225" x14ac:dyDescent="0.25">
      <c r="A91" s="1" t="str">
        <f>IF(receta!A91="","",receta!A91)</f>
        <v>Melón con Vino</v>
      </c>
      <c r="B91" s="4" t="s">
        <v>682</v>
      </c>
      <c r="C91" s="4" t="s">
        <v>681</v>
      </c>
      <c r="D91" s="1"/>
      <c r="E91" s="1" t="s">
        <v>335</v>
      </c>
      <c r="F91" s="5" t="s">
        <v>334</v>
      </c>
      <c r="G91" s="5"/>
      <c r="H91" s="1"/>
      <c r="I91" s="1"/>
      <c r="J91" s="1"/>
      <c r="K91" s="5"/>
      <c r="L91" s="5"/>
      <c r="M91" s="1"/>
    </row>
    <row r="92" spans="1:13" ht="375" x14ac:dyDescent="0.25">
      <c r="A92" s="1" t="str">
        <f>IF(receta!A92="","",receta!A92)</f>
        <v>Michelada</v>
      </c>
      <c r="B92" s="4" t="s">
        <v>840</v>
      </c>
      <c r="C92" s="4" t="s">
        <v>841</v>
      </c>
      <c r="D92" s="4" t="s">
        <v>401</v>
      </c>
      <c r="E92" s="1" t="s">
        <v>178</v>
      </c>
      <c r="F92" s="5" t="s">
        <v>179</v>
      </c>
      <c r="G92" s="5"/>
      <c r="H92" s="1"/>
      <c r="I92" s="1"/>
      <c r="J92" s="1"/>
      <c r="K92" s="5"/>
      <c r="L92" s="5"/>
      <c r="M92" s="1"/>
    </row>
    <row r="93" spans="1:13" ht="180" x14ac:dyDescent="0.25">
      <c r="A93" s="1" t="str">
        <f>IF(receta!A93="","",receta!A93)</f>
        <v>Milano Torino</v>
      </c>
      <c r="B93" s="1"/>
      <c r="C93" s="4" t="s">
        <v>537</v>
      </c>
      <c r="D93" s="1"/>
      <c r="E93" s="1"/>
      <c r="F93" s="1"/>
      <c r="G93" s="1"/>
      <c r="H93" s="1"/>
      <c r="I93" s="1"/>
      <c r="J93" s="1"/>
      <c r="K93" s="1"/>
      <c r="L93" s="1"/>
      <c r="M93" s="4" t="s">
        <v>1044</v>
      </c>
    </row>
    <row r="94" spans="1:13" ht="225" x14ac:dyDescent="0.25">
      <c r="A94" s="1" t="str">
        <f>IF(receta!A94="","",receta!A94)</f>
        <v>Mimosa</v>
      </c>
      <c r="B94" s="1"/>
      <c r="C94" s="4" t="s">
        <v>363</v>
      </c>
      <c r="D94" s="1"/>
      <c r="E94" s="1"/>
      <c r="F94" s="1"/>
      <c r="G94" s="1"/>
      <c r="H94" s="1"/>
      <c r="I94" s="1"/>
      <c r="J94" s="1"/>
      <c r="K94" s="1"/>
      <c r="L94" s="1"/>
      <c r="M94" s="4" t="s">
        <v>1062</v>
      </c>
    </row>
    <row r="95" spans="1:13" ht="225" x14ac:dyDescent="0.25">
      <c r="A95" s="1" t="str">
        <f>IF(receta!A95="","",receta!A95)</f>
        <v>Mojito</v>
      </c>
      <c r="B95" s="4" t="s">
        <v>639</v>
      </c>
      <c r="C95" s="4" t="s">
        <v>638</v>
      </c>
      <c r="D95" s="4"/>
      <c r="E95" s="1"/>
      <c r="F95" s="1"/>
      <c r="G95" s="1"/>
      <c r="H95" s="1"/>
      <c r="I95" s="5"/>
      <c r="J95" s="1"/>
      <c r="K95" s="1"/>
      <c r="L95" s="1"/>
      <c r="M95" s="4" t="s">
        <v>993</v>
      </c>
    </row>
    <row r="96" spans="1:13" ht="60" x14ac:dyDescent="0.25">
      <c r="A96" s="1" t="str">
        <f>IF(receta!A96="","",receta!A96)</f>
        <v>Mojito (Sin Alcohol)</v>
      </c>
      <c r="B96" s="1"/>
      <c r="C96" s="4" t="s">
        <v>579</v>
      </c>
      <c r="D96" s="4"/>
      <c r="E96" s="1"/>
      <c r="F96" s="1"/>
      <c r="G96" s="1"/>
      <c r="H96" s="1"/>
      <c r="I96" s="5"/>
      <c r="J96" s="1"/>
      <c r="K96" s="1"/>
      <c r="L96" s="1"/>
      <c r="M96" s="1"/>
    </row>
    <row r="97" spans="1:13" ht="409.5" x14ac:dyDescent="0.25">
      <c r="A97" s="1" t="str">
        <f>IF(receta!A97="","",receta!A97)</f>
        <v>Mojito Maracuyá</v>
      </c>
      <c r="B97" s="1"/>
      <c r="C97" s="4" t="s">
        <v>578</v>
      </c>
      <c r="D97" s="4" t="s">
        <v>991</v>
      </c>
      <c r="E97" s="1" t="s">
        <v>995</v>
      </c>
      <c r="F97" s="5" t="s">
        <v>994</v>
      </c>
      <c r="G97" s="1"/>
      <c r="H97" s="4"/>
      <c r="I97" s="1"/>
      <c r="J97" s="1"/>
      <c r="K97" s="1"/>
      <c r="L97" s="1"/>
      <c r="M97" s="4" t="s">
        <v>992</v>
      </c>
    </row>
    <row r="98" spans="1:13" ht="135" x14ac:dyDescent="0.25">
      <c r="A98" s="1" t="str">
        <f>IF(receta!A98="","",receta!A98)</f>
        <v>Mojito Spritz</v>
      </c>
      <c r="B98" s="4" t="s">
        <v>1082</v>
      </c>
      <c r="C98" s="4" t="s">
        <v>724</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926</v>
      </c>
    </row>
    <row r="100" spans="1:13" ht="120" x14ac:dyDescent="0.25">
      <c r="A100" s="1" t="str">
        <f>IF(receta!A100="","",receta!A100)</f>
        <v>Naranja Sour</v>
      </c>
      <c r="B100" s="4" t="s">
        <v>725</v>
      </c>
      <c r="C100" s="4" t="s">
        <v>371</v>
      </c>
      <c r="D100" s="4"/>
      <c r="E100" s="1" t="s">
        <v>341</v>
      </c>
      <c r="F100" s="5" t="s">
        <v>340</v>
      </c>
      <c r="G100" s="5"/>
      <c r="H100" s="1"/>
      <c r="I100" s="1"/>
      <c r="J100" s="1"/>
      <c r="K100" s="5"/>
      <c r="L100" s="5"/>
      <c r="M100" s="1"/>
    </row>
    <row r="101" spans="1:13" ht="195" x14ac:dyDescent="0.25">
      <c r="A101" s="1" t="str">
        <f>IF(receta!A101="","",receta!A101)</f>
        <v>Negativismo Lógico</v>
      </c>
      <c r="B101" s="1"/>
      <c r="C101" s="4" t="s">
        <v>735</v>
      </c>
      <c r="D101" s="4"/>
      <c r="E101" s="4"/>
      <c r="F101" s="1"/>
      <c r="G101" s="1"/>
      <c r="H101" s="4" t="s">
        <v>325</v>
      </c>
      <c r="I101" s="1" t="s">
        <v>267</v>
      </c>
      <c r="J101" s="4"/>
      <c r="K101" s="1"/>
      <c r="L101" s="1"/>
      <c r="M101" s="1"/>
    </row>
    <row r="102" spans="1:13" ht="210" x14ac:dyDescent="0.25">
      <c r="A102" s="1" t="str">
        <f>IF(receta!A102="","",receta!A102)</f>
        <v>Negroni</v>
      </c>
      <c r="B102" s="1"/>
      <c r="C102" s="4" t="s">
        <v>374</v>
      </c>
      <c r="D102" s="4" t="s">
        <v>224</v>
      </c>
      <c r="E102" s="1"/>
      <c r="F102" s="1"/>
      <c r="G102" s="1"/>
      <c r="H102" s="1"/>
      <c r="I102" s="1"/>
      <c r="J102" s="1"/>
      <c r="K102" s="1"/>
      <c r="L102" s="1"/>
      <c r="M102" s="4" t="s">
        <v>968</v>
      </c>
    </row>
    <row r="103" spans="1:13" ht="210" x14ac:dyDescent="0.25">
      <c r="A103" s="1" t="str">
        <f>IF(receta!A103="","",receta!A103)</f>
        <v>Negroni Sbagliato</v>
      </c>
      <c r="B103" s="1"/>
      <c r="C103" s="4" t="s">
        <v>592</v>
      </c>
      <c r="D103" s="1"/>
      <c r="E103" s="1"/>
      <c r="F103" s="1"/>
      <c r="G103" s="1"/>
      <c r="H103" s="1"/>
      <c r="I103" s="1"/>
      <c r="J103" s="1"/>
      <c r="K103" s="1"/>
      <c r="L103" s="1"/>
      <c r="M103" s="4" t="s">
        <v>1038</v>
      </c>
    </row>
    <row r="104" spans="1:13" ht="345" x14ac:dyDescent="0.25">
      <c r="A104" s="1" t="str">
        <f>IF(receta!A104="","",receta!A104)</f>
        <v>New York Sour</v>
      </c>
      <c r="B104" s="4" t="s">
        <v>742</v>
      </c>
      <c r="C104" s="4" t="s">
        <v>640</v>
      </c>
      <c r="D104" s="4" t="s">
        <v>482</v>
      </c>
      <c r="E104" s="1" t="s">
        <v>478</v>
      </c>
      <c r="F104" s="5" t="s">
        <v>477</v>
      </c>
      <c r="G104" s="5"/>
      <c r="H104" s="1"/>
      <c r="I104" s="1"/>
      <c r="J104" s="1"/>
      <c r="K104" s="5"/>
      <c r="L104" s="5"/>
      <c r="M104" s="4" t="s">
        <v>1005</v>
      </c>
    </row>
    <row r="105" spans="1:13" ht="90" x14ac:dyDescent="0.25">
      <c r="A105" s="1" t="str">
        <f>IF(receta!A105="","",receta!A105)</f>
        <v>No Me Falles</v>
      </c>
      <c r="B105" s="1"/>
      <c r="C105" s="1" t="s">
        <v>371</v>
      </c>
      <c r="D105" s="1"/>
      <c r="E105" s="1" t="s">
        <v>205</v>
      </c>
      <c r="F105" s="1" t="s">
        <v>206</v>
      </c>
      <c r="G105" s="1"/>
      <c r="H105" s="1"/>
      <c r="I105" s="1"/>
      <c r="J105" s="1"/>
      <c r="K105" s="1"/>
      <c r="L105" s="1"/>
      <c r="M105" s="4" t="s">
        <v>942</v>
      </c>
    </row>
    <row r="106" spans="1:13" ht="375" x14ac:dyDescent="0.25">
      <c r="A106" s="1" t="str">
        <f>IF(receta!A106="","",receta!A106)</f>
        <v>Old Fashioned</v>
      </c>
      <c r="B106" s="4" t="s">
        <v>641</v>
      </c>
      <c r="C106" s="4"/>
      <c r="D106" s="4" t="s">
        <v>563</v>
      </c>
      <c r="E106" s="1" t="s">
        <v>1036</v>
      </c>
      <c r="F106" s="5" t="s">
        <v>1037</v>
      </c>
      <c r="G106" s="4" t="s">
        <v>1035</v>
      </c>
      <c r="H106" s="4" t="s">
        <v>1049</v>
      </c>
      <c r="I106" s="5" t="s">
        <v>1046</v>
      </c>
      <c r="J106" s="1"/>
      <c r="K106" s="1"/>
      <c r="L106" s="1"/>
      <c r="M106" s="4" t="s">
        <v>1047</v>
      </c>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643</v>
      </c>
      <c r="C108" s="4" t="s">
        <v>642</v>
      </c>
      <c r="D108" s="1"/>
      <c r="E108" s="1"/>
      <c r="F108" s="1"/>
      <c r="G108" s="1"/>
      <c r="H108" s="1" t="s">
        <v>959</v>
      </c>
      <c r="I108" s="5" t="s">
        <v>256</v>
      </c>
      <c r="J108" s="1"/>
      <c r="K108" s="1"/>
      <c r="L108" s="1"/>
      <c r="M108" s="4" t="s">
        <v>1048</v>
      </c>
    </row>
    <row r="109" spans="1:13" ht="105" x14ac:dyDescent="0.25">
      <c r="A109" s="1" t="str">
        <f>IF(receta!A109="","",receta!A109)</f>
        <v>Parrón</v>
      </c>
      <c r="B109" s="4" t="s">
        <v>576</v>
      </c>
      <c r="C109" s="4"/>
      <c r="D109" s="4"/>
      <c r="E109" s="1"/>
      <c r="F109" s="1"/>
      <c r="G109" s="1"/>
      <c r="H109" s="1"/>
      <c r="I109" s="1"/>
      <c r="J109" s="1"/>
      <c r="K109" s="1"/>
      <c r="L109" s="1"/>
      <c r="M109" s="1"/>
    </row>
    <row r="110" spans="1:13" ht="330" x14ac:dyDescent="0.25">
      <c r="A110" s="1" t="str">
        <f>IF(receta!A110="","",receta!A110)</f>
        <v>Penicilina</v>
      </c>
      <c r="B110" s="4" t="s">
        <v>673</v>
      </c>
      <c r="C110" s="4" t="s">
        <v>672</v>
      </c>
      <c r="D110" s="4" t="s">
        <v>1003</v>
      </c>
      <c r="E110" s="4" t="s">
        <v>583</v>
      </c>
      <c r="F110" s="5" t="s">
        <v>544</v>
      </c>
      <c r="G110" s="5"/>
      <c r="H110" s="1"/>
      <c r="I110" s="1"/>
      <c r="J110" s="4"/>
      <c r="K110" s="5"/>
      <c r="L110" s="5"/>
      <c r="M110" s="4" t="s">
        <v>1004</v>
      </c>
    </row>
    <row r="111" spans="1:13" x14ac:dyDescent="0.25">
      <c r="A111" s="1" t="str">
        <f>IF(receta!A111="","",receta!A111)</f>
        <v>Phil Collins</v>
      </c>
      <c r="B111" s="1"/>
      <c r="C111" s="4" t="s">
        <v>498</v>
      </c>
      <c r="D111" s="1"/>
      <c r="E111" s="1" t="s">
        <v>499</v>
      </c>
      <c r="F111" s="5" t="s">
        <v>502</v>
      </c>
      <c r="G111" s="5"/>
      <c r="H111" s="1"/>
      <c r="I111" s="1"/>
      <c r="J111" s="1"/>
      <c r="K111" s="5"/>
      <c r="L111" s="5"/>
      <c r="M111" s="1"/>
    </row>
    <row r="112" spans="1:13" ht="120" x14ac:dyDescent="0.25">
      <c r="A112" s="1" t="str">
        <f>IF(receta!A112="","",receta!A112)</f>
        <v>Pichuncho</v>
      </c>
      <c r="B112" s="1"/>
      <c r="C112" s="4" t="s">
        <v>377</v>
      </c>
      <c r="D112" s="1"/>
      <c r="E112" s="1" t="s">
        <v>484</v>
      </c>
      <c r="F112" s="5" t="s">
        <v>483</v>
      </c>
      <c r="G112" s="4" t="s">
        <v>1075</v>
      </c>
      <c r="H112" s="1"/>
      <c r="I112" s="5"/>
      <c r="J112" s="1"/>
      <c r="K112" s="5"/>
      <c r="L112" s="5"/>
      <c r="M112" s="1"/>
    </row>
    <row r="113" spans="1:13" ht="195" x14ac:dyDescent="0.25">
      <c r="A113" s="1" t="str">
        <f>IF(receta!A113="","",receta!A113)</f>
        <v>Piña Colada</v>
      </c>
      <c r="B113" s="1"/>
      <c r="C113" s="4" t="s">
        <v>464</v>
      </c>
      <c r="D113" s="5"/>
      <c r="E113" s="1" t="s">
        <v>416</v>
      </c>
      <c r="F113" s="5" t="s">
        <v>158</v>
      </c>
      <c r="G113" s="5"/>
      <c r="H113" s="6"/>
      <c r="I113" s="5"/>
      <c r="J113" s="6"/>
      <c r="K113" s="5"/>
      <c r="L113" s="5"/>
      <c r="M113" s="4" t="s">
        <v>1071</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357</v>
      </c>
      <c r="C116" s="4"/>
      <c r="D116" s="4" t="s">
        <v>359</v>
      </c>
      <c r="E116" s="1" t="s">
        <v>161</v>
      </c>
      <c r="F116" s="5" t="s">
        <v>162</v>
      </c>
      <c r="G116" s="5"/>
      <c r="H116" s="1"/>
      <c r="I116" s="5"/>
      <c r="J116" s="1"/>
      <c r="K116" s="5"/>
      <c r="L116" s="5"/>
      <c r="M116" s="1"/>
    </row>
    <row r="117" spans="1:13" ht="210" x14ac:dyDescent="0.25">
      <c r="A117" s="1" t="str">
        <f>IF(receta!A117="","",receta!A117)</f>
        <v>Piscola</v>
      </c>
      <c r="B117" s="4" t="s">
        <v>645</v>
      </c>
      <c r="C117" s="4" t="s">
        <v>644</v>
      </c>
      <c r="D117" s="5"/>
      <c r="E117" s="1" t="s">
        <v>156</v>
      </c>
      <c r="F117" s="5" t="s">
        <v>417</v>
      </c>
      <c r="G117" s="5"/>
      <c r="H117" s="1"/>
      <c r="I117" s="1"/>
      <c r="J117" s="1"/>
      <c r="K117" s="5"/>
      <c r="L117" s="5"/>
      <c r="M117" s="4" t="s">
        <v>1009</v>
      </c>
    </row>
    <row r="118" spans="1:13" ht="90" x14ac:dyDescent="0.25">
      <c r="A118" s="1" t="str">
        <f>IF(receta!A118="","",receta!A118)</f>
        <v>Pistón</v>
      </c>
      <c r="B118" s="4" t="s">
        <v>647</v>
      </c>
      <c r="C118" s="4" t="s">
        <v>646</v>
      </c>
      <c r="D118" s="1"/>
      <c r="E118" s="1" t="s">
        <v>500</v>
      </c>
      <c r="F118" s="5" t="s">
        <v>501</v>
      </c>
      <c r="G118" s="5"/>
      <c r="H118" s="1"/>
      <c r="I118" s="1"/>
      <c r="J118" s="1"/>
      <c r="K118" s="5"/>
      <c r="L118" s="5"/>
      <c r="M118" s="1"/>
    </row>
    <row r="119" spans="1:13" ht="375" x14ac:dyDescent="0.25">
      <c r="A119" s="1" t="str">
        <f>IF(receta!A119="","",receta!A119)</f>
        <v>Quédate</v>
      </c>
      <c r="B119" s="1"/>
      <c r="C119" s="1" t="s">
        <v>371</v>
      </c>
      <c r="D119" s="4" t="s">
        <v>456</v>
      </c>
      <c r="E119" s="1"/>
      <c r="F119" s="5"/>
      <c r="G119" s="5"/>
      <c r="H119" s="1" t="s">
        <v>289</v>
      </c>
      <c r="I119" s="5" t="s">
        <v>288</v>
      </c>
      <c r="J119" s="1"/>
      <c r="K119" s="5"/>
      <c r="L119" s="5"/>
      <c r="M119" s="4" t="s">
        <v>1007</v>
      </c>
    </row>
    <row r="120" spans="1:13" ht="135" x14ac:dyDescent="0.25">
      <c r="A120" s="1" t="str">
        <f>IF(receta!A120="","",receta!A120)</f>
        <v>Ramazzotti Spritz</v>
      </c>
      <c r="B120" s="4" t="s">
        <v>1082</v>
      </c>
      <c r="C120" s="4" t="s">
        <v>353</v>
      </c>
      <c r="D120" s="1"/>
      <c r="E120" s="1" t="s">
        <v>376</v>
      </c>
      <c r="F120" s="5" t="s">
        <v>375</v>
      </c>
      <c r="G120" s="5"/>
      <c r="H120" s="1"/>
      <c r="I120" s="1"/>
      <c r="J120" s="1"/>
      <c r="K120" s="5"/>
      <c r="L120" s="5"/>
      <c r="M120" s="1"/>
    </row>
    <row r="121" spans="1:13" ht="135" x14ac:dyDescent="0.25">
      <c r="A121" s="1" t="str">
        <f>IF(receta!A121="","",receta!A121)</f>
        <v>Ramazzotti Violetto Spritz</v>
      </c>
      <c r="B121" s="4" t="s">
        <v>1082</v>
      </c>
      <c r="C121" s="4" t="s">
        <v>746</v>
      </c>
      <c r="D121" s="1"/>
      <c r="E121" s="1"/>
      <c r="F121" s="1"/>
      <c r="G121" s="1"/>
      <c r="H121" s="1"/>
      <c r="I121" s="1"/>
      <c r="J121" s="1"/>
      <c r="K121" s="1"/>
      <c r="L121" s="1"/>
      <c r="M121" s="1"/>
    </row>
    <row r="122" spans="1:13" ht="30" x14ac:dyDescent="0.25">
      <c r="A122" s="1" t="str">
        <f>IF(receta!A122="","",receta!A122)</f>
        <v>Ron Cola</v>
      </c>
      <c r="B122" s="1"/>
      <c r="C122" s="4" t="s">
        <v>535</v>
      </c>
      <c r="D122" s="1"/>
      <c r="E122" s="1" t="s">
        <v>509</v>
      </c>
      <c r="F122" s="1" t="s">
        <v>508</v>
      </c>
      <c r="G122" s="1"/>
      <c r="H122" s="1"/>
      <c r="I122" s="1"/>
      <c r="J122" s="1"/>
      <c r="K122" s="1"/>
      <c r="L122" s="1"/>
      <c r="M122" s="1"/>
    </row>
    <row r="123" spans="1:13" ht="135" x14ac:dyDescent="0.25">
      <c r="A123" s="1" t="str">
        <f>IF(receta!A123="","",receta!A123)</f>
        <v>Ruso Blanco</v>
      </c>
      <c r="B123" s="1"/>
      <c r="C123" s="4" t="s">
        <v>648</v>
      </c>
      <c r="D123" s="4" t="s">
        <v>252</v>
      </c>
      <c r="E123" s="1"/>
      <c r="F123" s="5"/>
      <c r="G123" s="5"/>
      <c r="H123" s="1" t="s">
        <v>342</v>
      </c>
      <c r="I123" s="5" t="s">
        <v>176</v>
      </c>
      <c r="J123" s="1"/>
      <c r="K123" s="5"/>
      <c r="L123" s="5"/>
      <c r="M123" s="4" t="s">
        <v>922</v>
      </c>
    </row>
    <row r="124" spans="1:13" ht="409.5" x14ac:dyDescent="0.25">
      <c r="A124" s="1" t="str">
        <f>IF(receta!A124="","",receta!A124)</f>
        <v>Ruso Negro</v>
      </c>
      <c r="B124" s="1"/>
      <c r="C124" s="4" t="s">
        <v>465</v>
      </c>
      <c r="D124" s="4" t="s">
        <v>356</v>
      </c>
      <c r="E124" s="1"/>
      <c r="F124" s="1"/>
      <c r="G124" s="1"/>
      <c r="H124" s="1"/>
      <c r="I124" s="1"/>
      <c r="J124" s="1"/>
      <c r="K124" s="1"/>
      <c r="L124" s="1"/>
      <c r="M124" s="1"/>
    </row>
    <row r="125" spans="1:13" ht="330" x14ac:dyDescent="0.25">
      <c r="A125" s="1" t="str">
        <f>IF(receta!A125="","",receta!A125)</f>
        <v>Sangría</v>
      </c>
      <c r="B125" s="4" t="s">
        <v>650</v>
      </c>
      <c r="C125" s="4" t="s">
        <v>649</v>
      </c>
      <c r="D125" s="4" t="s">
        <v>393</v>
      </c>
      <c r="E125" s="1" t="s">
        <v>390</v>
      </c>
      <c r="F125" s="5" t="s">
        <v>389</v>
      </c>
      <c r="G125" s="5"/>
      <c r="H125" s="1"/>
      <c r="I125" s="1"/>
      <c r="J125" s="1"/>
      <c r="K125" s="1"/>
      <c r="L125" s="1"/>
      <c r="M125" s="1"/>
    </row>
    <row r="126" spans="1:13" ht="255" x14ac:dyDescent="0.25">
      <c r="A126" s="1" t="str">
        <f>IF(receta!A126="","",receta!A126)</f>
        <v>Sangrita</v>
      </c>
      <c r="B126" s="1"/>
      <c r="C126" s="4" t="s">
        <v>541</v>
      </c>
      <c r="D126" s="1"/>
      <c r="E126" s="1"/>
      <c r="F126" s="1"/>
      <c r="G126" s="1"/>
      <c r="H126" s="1"/>
      <c r="I126" s="1"/>
      <c r="J126" s="1"/>
      <c r="K126" s="1"/>
      <c r="L126" s="1"/>
      <c r="M126" s="1"/>
    </row>
    <row r="127" spans="1:13" ht="165" x14ac:dyDescent="0.25">
      <c r="A127" s="1" t="str">
        <f>IF(receta!A127="","",receta!A127)</f>
        <v>Sea Breeze</v>
      </c>
      <c r="B127" s="1"/>
      <c r="C127" s="4" t="s">
        <v>719</v>
      </c>
      <c r="D127" s="1"/>
      <c r="E127" s="1" t="s">
        <v>555</v>
      </c>
      <c r="F127" s="1" t="s">
        <v>554</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1006</v>
      </c>
    </row>
    <row r="129" spans="1:13" ht="409.5" x14ac:dyDescent="0.25">
      <c r="A129" s="1" t="str">
        <f>IF(receta!A129="","",receta!A129)</f>
        <v>Sexo en la Playa</v>
      </c>
      <c r="B129" s="1"/>
      <c r="C129" s="4" t="s">
        <v>369</v>
      </c>
      <c r="D129" s="4" t="s">
        <v>912</v>
      </c>
      <c r="E129" s="1"/>
      <c r="F129" s="1"/>
      <c r="G129" s="1"/>
      <c r="H129" s="1"/>
      <c r="I129" s="1"/>
      <c r="J129" s="1"/>
      <c r="K129" s="1"/>
      <c r="L129" s="1"/>
      <c r="M129" s="4" t="s">
        <v>908</v>
      </c>
    </row>
    <row r="130" spans="1:13" ht="45" x14ac:dyDescent="0.25">
      <c r="A130" s="1" t="str">
        <f>IF(receta!A130="","",receta!A130)</f>
        <v>Sexo Seguro en la Playa</v>
      </c>
      <c r="B130" s="1"/>
      <c r="C130" s="4" t="s">
        <v>370</v>
      </c>
      <c r="D130" s="1"/>
      <c r="E130" s="1"/>
      <c r="F130" s="1"/>
      <c r="G130" s="1"/>
      <c r="H130" s="1"/>
      <c r="I130" s="1"/>
      <c r="J130" s="1"/>
      <c r="K130" s="1"/>
      <c r="L130" s="1"/>
      <c r="M130" s="1"/>
    </row>
    <row r="131" spans="1:13" ht="315" x14ac:dyDescent="0.25">
      <c r="A131" s="1" t="str">
        <f>IF(receta!A131="","",receta!A131)</f>
        <v>Sidecar</v>
      </c>
      <c r="B131" s="1"/>
      <c r="C131" s="4" t="s">
        <v>466</v>
      </c>
      <c r="D131" s="4"/>
      <c r="E131" s="1"/>
      <c r="F131" s="1"/>
      <c r="G131" s="1"/>
      <c r="H131" s="1"/>
      <c r="I131" s="5"/>
      <c r="J131" s="1"/>
      <c r="K131" s="1"/>
      <c r="L131" s="1"/>
      <c r="M131" s="4" t="s">
        <v>1073</v>
      </c>
    </row>
    <row r="132" spans="1:13" ht="165" x14ac:dyDescent="0.25">
      <c r="A132" s="1" t="str">
        <f>IF(receta!A132="","",receta!A132)</f>
        <v>Síndrome Impostor</v>
      </c>
      <c r="B132" s="1"/>
      <c r="C132" s="1" t="s">
        <v>371</v>
      </c>
      <c r="D132" s="1"/>
      <c r="E132" s="1" t="s">
        <v>164</v>
      </c>
      <c r="F132" s="5" t="s">
        <v>163</v>
      </c>
      <c r="G132" s="5"/>
      <c r="H132" s="1"/>
      <c r="I132" s="1"/>
      <c r="J132" s="1"/>
      <c r="K132" s="5"/>
      <c r="L132" s="5"/>
      <c r="M132" s="4" t="s">
        <v>1043</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586</v>
      </c>
      <c r="D134" s="4" t="s">
        <v>594</v>
      </c>
      <c r="E134" s="4" t="s">
        <v>588</v>
      </c>
      <c r="F134" s="5" t="s">
        <v>587</v>
      </c>
      <c r="G134" s="5"/>
      <c r="H134" s="4"/>
      <c r="I134" s="5"/>
      <c r="J134" s="4"/>
      <c r="K134" s="5"/>
      <c r="L134" s="5"/>
      <c r="M134" s="4" t="s">
        <v>937</v>
      </c>
    </row>
    <row r="135" spans="1:13" ht="300" x14ac:dyDescent="0.25">
      <c r="A135" s="1" t="str">
        <f>IF(receta!A135="","",receta!A135)</f>
        <v>Terremoto</v>
      </c>
      <c r="B135" s="4" t="s">
        <v>651</v>
      </c>
      <c r="C135" s="4" t="s">
        <v>949</v>
      </c>
      <c r="D135" s="4" t="s">
        <v>947</v>
      </c>
      <c r="E135" s="1"/>
      <c r="F135" s="1"/>
      <c r="G135" s="1"/>
      <c r="H135" s="1" t="s">
        <v>946</v>
      </c>
      <c r="I135" s="5" t="s">
        <v>945</v>
      </c>
      <c r="J135" s="1"/>
      <c r="K135" s="1"/>
      <c r="L135" s="1"/>
      <c r="M135" s="4" t="s">
        <v>948</v>
      </c>
    </row>
    <row r="136" spans="1:13" ht="180" x14ac:dyDescent="0.25">
      <c r="A136" s="1" t="str">
        <f>IF(receta!A136="","",receta!A136)</f>
        <v>Terremoto (Sin Alcohol)</v>
      </c>
      <c r="B136" s="4" t="s">
        <v>653</v>
      </c>
      <c r="C136" s="4" t="s">
        <v>652</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433</v>
      </c>
      <c r="E137" s="1" t="s">
        <v>1033</v>
      </c>
      <c r="F137" s="5" t="s">
        <v>1032</v>
      </c>
      <c r="G137" s="4" t="s">
        <v>1034</v>
      </c>
      <c r="H137" s="1"/>
      <c r="I137" s="1"/>
      <c r="J137" s="1"/>
      <c r="K137" s="1"/>
      <c r="L137" s="1"/>
      <c r="M137" s="1"/>
    </row>
    <row r="138" spans="1:13" ht="409.5" x14ac:dyDescent="0.25">
      <c r="A138" s="1" t="str">
        <f>IF(receta!A138="","",receta!A138)</f>
        <v>Tom Collins</v>
      </c>
      <c r="B138" s="4"/>
      <c r="C138" s="4" t="s">
        <v>758</v>
      </c>
      <c r="D138" s="1"/>
      <c r="E138" s="1"/>
      <c r="F138" s="1"/>
      <c r="G138" s="1"/>
      <c r="H138" s="1"/>
      <c r="I138" s="1"/>
      <c r="J138" s="1"/>
      <c r="K138" s="1"/>
      <c r="L138" s="1"/>
      <c r="M138" s="4" t="s">
        <v>930</v>
      </c>
    </row>
    <row r="139" spans="1:13" ht="195" x14ac:dyDescent="0.25">
      <c r="A139" s="1" t="str">
        <f>IF(receta!A139="","",receta!A139)</f>
        <v>Trikahue</v>
      </c>
      <c r="B139" s="1"/>
      <c r="C139" s="4" t="s">
        <v>582</v>
      </c>
      <c r="D139" s="4"/>
      <c r="E139" s="1"/>
      <c r="F139" s="1"/>
      <c r="G139" s="1"/>
      <c r="H139" s="1" t="s">
        <v>414</v>
      </c>
      <c r="I139" s="1" t="s">
        <v>413</v>
      </c>
      <c r="J139" s="1"/>
      <c r="K139" s="1"/>
      <c r="L139" s="1"/>
      <c r="M139" s="1"/>
    </row>
    <row r="140" spans="1:13" ht="409.5" x14ac:dyDescent="0.25">
      <c r="A140" s="1" t="str">
        <f>IF(receta!A140="","",receta!A140)</f>
        <v>Tropezón</v>
      </c>
      <c r="B140" s="4" t="s">
        <v>703</v>
      </c>
      <c r="C140" s="4" t="s">
        <v>702</v>
      </c>
      <c r="D140" s="4" t="s">
        <v>345</v>
      </c>
      <c r="E140" s="1" t="s">
        <v>1019</v>
      </c>
      <c r="F140" s="5" t="s">
        <v>1018</v>
      </c>
      <c r="G140" s="4" t="s">
        <v>1020</v>
      </c>
      <c r="H140" s="1"/>
      <c r="I140" s="1"/>
      <c r="J140" s="1" t="s">
        <v>419</v>
      </c>
      <c r="K140" s="5" t="s">
        <v>418</v>
      </c>
      <c r="L140" s="5"/>
      <c r="M140" s="4" t="s">
        <v>1008</v>
      </c>
    </row>
    <row r="141" spans="1:13" ht="409.5" x14ac:dyDescent="0.25">
      <c r="A141" s="1" t="str">
        <f>IF(receta!A141="","",receta!A141)</f>
        <v>Vaina</v>
      </c>
      <c r="B141" s="4" t="s">
        <v>743</v>
      </c>
      <c r="C141" s="4" t="s">
        <v>683</v>
      </c>
      <c r="D141" s="4" t="s">
        <v>901</v>
      </c>
      <c r="E141" s="4" t="s">
        <v>610</v>
      </c>
      <c r="F141" s="4" t="s">
        <v>611</v>
      </c>
      <c r="G141" s="4"/>
      <c r="H141" s="1"/>
      <c r="I141" s="1"/>
      <c r="J141" s="4"/>
      <c r="K141" s="4"/>
      <c r="L141" s="4"/>
      <c r="M141" s="1"/>
    </row>
    <row r="142" spans="1:13" ht="60" x14ac:dyDescent="0.25">
      <c r="A142" s="1" t="str">
        <f>IF(receta!A142="","",receta!A142)</f>
        <v>Valentín</v>
      </c>
      <c r="B142" s="1"/>
      <c r="C142" s="4" t="s">
        <v>654</v>
      </c>
      <c r="D142" s="4"/>
      <c r="E142" s="4" t="s">
        <v>247</v>
      </c>
      <c r="F142" s="5" t="s">
        <v>246</v>
      </c>
      <c r="G142" s="5"/>
      <c r="H142" s="1"/>
      <c r="I142" s="1"/>
      <c r="J142" s="4"/>
      <c r="K142" s="5"/>
      <c r="L142" s="5"/>
      <c r="M142" s="1"/>
    </row>
    <row r="143" spans="1:13" ht="409.5" x14ac:dyDescent="0.25">
      <c r="A143" s="1" t="str">
        <f>IF(receta!A143="","",receta!A143)</f>
        <v>Vampiro</v>
      </c>
      <c r="B143" s="4" t="s">
        <v>656</v>
      </c>
      <c r="C143" s="4" t="s">
        <v>655</v>
      </c>
      <c r="D143" s="4" t="s">
        <v>540</v>
      </c>
      <c r="E143" s="1" t="s">
        <v>538</v>
      </c>
      <c r="F143" s="1" t="s">
        <v>539</v>
      </c>
      <c r="G143" s="1"/>
      <c r="H143" s="1"/>
      <c r="I143" s="1"/>
      <c r="J143" s="1"/>
      <c r="K143" s="1"/>
      <c r="L143" s="1"/>
      <c r="M143" s="4" t="s">
        <v>934</v>
      </c>
    </row>
    <row r="144" spans="1:13" ht="409.5" x14ac:dyDescent="0.25">
      <c r="A144" s="1" t="str">
        <f>IF(receta!A144="","",receta!A144)</f>
        <v>Venganza</v>
      </c>
      <c r="B144" s="1"/>
      <c r="C144" s="1" t="s">
        <v>371</v>
      </c>
      <c r="D144" s="4" t="s">
        <v>348</v>
      </c>
      <c r="E144" s="1" t="s">
        <v>311</v>
      </c>
      <c r="F144" s="1" t="s">
        <v>310</v>
      </c>
      <c r="G144" s="1"/>
      <c r="H144" s="1" t="s">
        <v>1024</v>
      </c>
      <c r="I144" s="5" t="s">
        <v>1025</v>
      </c>
      <c r="J144" s="1" t="s">
        <v>1022</v>
      </c>
      <c r="K144" s="5" t="s">
        <v>1023</v>
      </c>
      <c r="L144" s="1"/>
      <c r="M144" s="4" t="s">
        <v>919</v>
      </c>
    </row>
    <row r="145" spans="1:13" ht="409.5" x14ac:dyDescent="0.25">
      <c r="A145" s="1" t="str">
        <f>IF(receta!A145="","",receta!A145)</f>
        <v>Vermouth con Soda</v>
      </c>
      <c r="B145" s="4" t="s">
        <v>657</v>
      </c>
      <c r="C145" s="4" t="s">
        <v>747</v>
      </c>
      <c r="D145" s="4" t="s">
        <v>585</v>
      </c>
      <c r="E145" s="1" t="s">
        <v>546</v>
      </c>
      <c r="F145" s="1" t="s">
        <v>545</v>
      </c>
      <c r="G145" s="1"/>
      <c r="H145" s="1"/>
      <c r="I145" s="1"/>
      <c r="J145" s="1"/>
      <c r="K145" s="1"/>
      <c r="L145" s="1"/>
      <c r="M145" s="4" t="s">
        <v>1045</v>
      </c>
    </row>
    <row r="146" spans="1:13" ht="120" x14ac:dyDescent="0.25">
      <c r="A146" s="1" t="str">
        <f>IF(receta!A146="","",receta!A146)</f>
        <v>Violetto Tonic</v>
      </c>
      <c r="B146" s="1"/>
      <c r="C146" s="4" t="s">
        <v>746</v>
      </c>
      <c r="D146" s="1"/>
      <c r="E146" s="1"/>
      <c r="F146" s="1"/>
      <c r="G146" s="1"/>
      <c r="H146" s="1"/>
      <c r="I146" s="1"/>
      <c r="J146" s="1"/>
      <c r="K146" s="1"/>
      <c r="L146" s="1"/>
      <c r="M146" s="1"/>
    </row>
    <row r="147" spans="1:13" ht="240" x14ac:dyDescent="0.25">
      <c r="A147" s="1" t="str">
        <f>IF(receta!A147="","",receta!A147)</f>
        <v>Vodka Cranberry</v>
      </c>
      <c r="B147" s="1"/>
      <c r="C147" s="4" t="s">
        <v>717</v>
      </c>
      <c r="D147" s="4"/>
      <c r="E147" s="1" t="s">
        <v>711</v>
      </c>
      <c r="F147" s="5" t="s">
        <v>712</v>
      </c>
      <c r="G147" s="5"/>
      <c r="H147" s="1"/>
      <c r="I147" s="5"/>
      <c r="J147" s="1"/>
      <c r="K147" s="5"/>
      <c r="L147" s="5"/>
      <c r="M147" s="4" t="s">
        <v>941</v>
      </c>
    </row>
    <row r="148" spans="1:13" ht="225" x14ac:dyDescent="0.25">
      <c r="A148" s="1" t="str">
        <f>IF(receta!A148="","",receta!A148)</f>
        <v>Whiscola</v>
      </c>
      <c r="B148" s="1"/>
      <c r="C148" s="4" t="s">
        <v>685</v>
      </c>
      <c r="D148" s="1"/>
      <c r="E148" s="1" t="s">
        <v>687</v>
      </c>
      <c r="F148" s="5" t="s">
        <v>686</v>
      </c>
      <c r="G148" s="5"/>
      <c r="H148" s="1"/>
      <c r="I148" s="1"/>
      <c r="J148" s="1"/>
      <c r="K148" s="5"/>
      <c r="L148" s="5"/>
      <c r="M148" s="4" t="s">
        <v>1084</v>
      </c>
    </row>
    <row r="149" spans="1:13" ht="324" customHeight="1" x14ac:dyDescent="0.25">
      <c r="A149" s="1" t="str">
        <f>IF(receta!A149="","",receta!A149)</f>
        <v>Whiskey Highball</v>
      </c>
      <c r="B149" s="1"/>
      <c r="C149" s="4" t="s">
        <v>689</v>
      </c>
      <c r="D149" s="4" t="s">
        <v>708</v>
      </c>
      <c r="E149" s="1" t="s">
        <v>705</v>
      </c>
      <c r="F149" s="5" t="s">
        <v>706</v>
      </c>
      <c r="G149" s="5"/>
      <c r="H149" s="1"/>
      <c r="I149" s="1"/>
      <c r="J149" s="1"/>
      <c r="K149" s="5"/>
      <c r="L149" s="5"/>
      <c r="M149" s="4" t="s">
        <v>1070</v>
      </c>
    </row>
    <row r="150" spans="1:13" ht="409.5" x14ac:dyDescent="0.25">
      <c r="A150" s="1" t="str">
        <f>IF(receta!A150="","",receta!A150)</f>
        <v>Whisky Sour</v>
      </c>
      <c r="B150" s="4" t="s">
        <v>725</v>
      </c>
      <c r="C150" s="4" t="s">
        <v>360</v>
      </c>
      <c r="D150" s="4" t="s">
        <v>355</v>
      </c>
      <c r="E150" s="1" t="s">
        <v>472</v>
      </c>
      <c r="F150" s="1" t="s">
        <v>471</v>
      </c>
      <c r="G150" s="1"/>
      <c r="H150" s="1"/>
      <c r="I150" s="5"/>
      <c r="J150" s="1"/>
      <c r="K150" s="1"/>
      <c r="L150" s="1"/>
      <c r="M150" s="4" t="s">
        <v>909</v>
      </c>
    </row>
    <row r="151" spans="1:13" ht="180" x14ac:dyDescent="0.25">
      <c r="A151" s="1" t="str">
        <f>IF(receta!A151="","",receta!A151)</f>
        <v>Bramble</v>
      </c>
      <c r="B151" s="4" t="s">
        <v>754</v>
      </c>
      <c r="C151" s="4" t="s">
        <v>753</v>
      </c>
      <c r="D151" s="4" t="s">
        <v>788</v>
      </c>
      <c r="E151" s="1" t="s">
        <v>790</v>
      </c>
      <c r="F151" s="1" t="s">
        <v>789</v>
      </c>
      <c r="G151" s="1"/>
      <c r="H151" s="1"/>
      <c r="I151" s="5"/>
      <c r="J151" s="1"/>
      <c r="K151" s="1"/>
      <c r="L151" s="1"/>
      <c r="M151" s="4" t="s">
        <v>1064</v>
      </c>
    </row>
    <row r="152" spans="1:13" ht="180" x14ac:dyDescent="0.25">
      <c r="A152" s="1" t="str">
        <f>IF(receta!A152="","",receta!A152)</f>
        <v>Pantera Rosa</v>
      </c>
      <c r="B152" s="1"/>
      <c r="C152" s="4" t="s">
        <v>757</v>
      </c>
      <c r="D152" s="4"/>
      <c r="E152" s="1" t="s">
        <v>791</v>
      </c>
      <c r="F152" s="1" t="s">
        <v>756</v>
      </c>
      <c r="G152" s="1"/>
      <c r="H152" s="1"/>
      <c r="I152" s="5"/>
      <c r="J152" s="1"/>
      <c r="K152" s="1"/>
      <c r="L152" s="1"/>
      <c r="M152" s="4" t="s">
        <v>1013</v>
      </c>
    </row>
    <row r="153" spans="1:13" ht="240" x14ac:dyDescent="0.25">
      <c r="A153" s="1" t="str">
        <f>IF(receta!A153="","",receta!A153)</f>
        <v>Gin Basil Smash</v>
      </c>
      <c r="B153" s="4" t="s">
        <v>761</v>
      </c>
      <c r="C153" s="4" t="s">
        <v>760</v>
      </c>
      <c r="D153" s="4" t="s">
        <v>794</v>
      </c>
      <c r="E153" s="4" t="s">
        <v>792</v>
      </c>
      <c r="F153" s="1" t="s">
        <v>793</v>
      </c>
      <c r="G153" s="1"/>
      <c r="H153" s="1"/>
      <c r="I153" s="5"/>
      <c r="J153" s="1"/>
      <c r="K153" s="1"/>
      <c r="L153" s="1"/>
      <c r="M153" s="1"/>
    </row>
    <row r="154" spans="1:13" ht="409.5" x14ac:dyDescent="0.25">
      <c r="A154" s="1" t="str">
        <f>IF(receta!A154="","",receta!A154)</f>
        <v>Vodka Tonic</v>
      </c>
      <c r="B154" s="1"/>
      <c r="C154" s="4" t="s">
        <v>783</v>
      </c>
      <c r="D154" s="26" t="s">
        <v>884</v>
      </c>
      <c r="E154" s="1" t="s">
        <v>781</v>
      </c>
      <c r="F154" s="5" t="s">
        <v>782</v>
      </c>
      <c r="G154" s="5"/>
      <c r="H154" s="1"/>
      <c r="I154" s="5"/>
      <c r="J154" s="1" t="s">
        <v>771</v>
      </c>
      <c r="K154" s="5" t="s">
        <v>770</v>
      </c>
      <c r="L154" s="26" t="s">
        <v>980</v>
      </c>
      <c r="M154" s="1"/>
    </row>
    <row r="155" spans="1:13" ht="330" x14ac:dyDescent="0.25">
      <c r="A155" s="1" t="str">
        <f>IF(receta!A155="","",receta!A155)</f>
        <v>Medias de Seda</v>
      </c>
      <c r="B155" s="4" t="s">
        <v>797</v>
      </c>
      <c r="C155" s="4" t="s">
        <v>798</v>
      </c>
      <c r="D155" s="4" t="s">
        <v>1076</v>
      </c>
      <c r="E155" s="1"/>
      <c r="F155" s="1"/>
      <c r="G155" s="1"/>
      <c r="H155" s="1"/>
      <c r="I155" s="5"/>
      <c r="J155" s="1"/>
      <c r="K155" s="1"/>
      <c r="L155" s="1"/>
      <c r="M155" s="4" t="s">
        <v>1063</v>
      </c>
    </row>
    <row r="156" spans="1:13" ht="255" x14ac:dyDescent="0.25">
      <c r="A156" s="1" t="str">
        <f>IF(receta!A156="","",receta!A156)</f>
        <v>Brandy Sour</v>
      </c>
      <c r="B156" s="4" t="s">
        <v>725</v>
      </c>
      <c r="C156" s="4" t="s">
        <v>800</v>
      </c>
      <c r="D156" s="4"/>
      <c r="E156" s="1" t="s">
        <v>802</v>
      </c>
      <c r="F156" s="5" t="s">
        <v>801</v>
      </c>
      <c r="G156" s="5"/>
      <c r="H156" s="1"/>
      <c r="I156" s="5"/>
      <c r="J156" s="1"/>
      <c r="K156" s="1"/>
      <c r="L156" s="1"/>
      <c r="M156" s="1"/>
    </row>
    <row r="157" spans="1:13" ht="409.5" x14ac:dyDescent="0.25">
      <c r="A157" s="1" t="str">
        <f>IF(receta!A157="","",receta!A157)</f>
        <v>Juanito Rosado</v>
      </c>
      <c r="B157" s="4" t="s">
        <v>805</v>
      </c>
      <c r="C157" s="4" t="s">
        <v>804</v>
      </c>
      <c r="D157" s="4" t="s">
        <v>434</v>
      </c>
      <c r="E157" s="1" t="s">
        <v>427</v>
      </c>
      <c r="F157" s="1" t="s">
        <v>426</v>
      </c>
      <c r="G157" s="1"/>
      <c r="H157" s="1"/>
      <c r="I157" s="5"/>
      <c r="J157" s="1"/>
      <c r="K157" s="1"/>
      <c r="L157" s="1"/>
      <c r="M157" s="4"/>
    </row>
    <row r="158" spans="1:13" ht="409.5" x14ac:dyDescent="0.25">
      <c r="A158" s="1" t="str">
        <f>IF(receta!A158="","",receta!A158)</f>
        <v>Vino Navegado</v>
      </c>
      <c r="B158" s="4" t="s">
        <v>872</v>
      </c>
      <c r="C158" s="4" t="s">
        <v>830</v>
      </c>
      <c r="D158" s="10"/>
      <c r="E158" s="1" t="s">
        <v>859</v>
      </c>
      <c r="F158" s="1" t="s">
        <v>858</v>
      </c>
      <c r="G158" s="1"/>
      <c r="H158" s="1"/>
      <c r="I158" s="5"/>
      <c r="J158" s="1"/>
      <c r="K158" s="1"/>
      <c r="L158" s="1"/>
      <c r="M158" s="10" t="s">
        <v>813</v>
      </c>
    </row>
    <row r="159" spans="1:13" ht="409.5" x14ac:dyDescent="0.25">
      <c r="A159" s="1" t="str">
        <f>IF(receta!A159="","",receta!A159)</f>
        <v>Cola de Mono</v>
      </c>
      <c r="B159" s="4" t="s">
        <v>847</v>
      </c>
      <c r="C159" s="4" t="s">
        <v>818</v>
      </c>
      <c r="D159" s="4" t="s">
        <v>822</v>
      </c>
      <c r="E159" s="1" t="s">
        <v>821</v>
      </c>
      <c r="F159" s="5" t="s">
        <v>820</v>
      </c>
      <c r="G159" s="5"/>
      <c r="H159" s="1" t="s">
        <v>829</v>
      </c>
      <c r="I159" s="10" t="s">
        <v>828</v>
      </c>
      <c r="J159" s="1"/>
      <c r="K159" s="1"/>
      <c r="L159" s="1"/>
      <c r="M159" s="4" t="s">
        <v>932</v>
      </c>
    </row>
    <row r="160" spans="1:13" ht="409.5" x14ac:dyDescent="0.25">
      <c r="A160" s="1" t="str">
        <f>IF(receta!A160="","",receta!A160)</f>
        <v>Chichón</v>
      </c>
      <c r="B160" s="4" t="s">
        <v>827</v>
      </c>
      <c r="C160" s="4" t="s">
        <v>826</v>
      </c>
      <c r="D160" s="4" t="s">
        <v>1017</v>
      </c>
      <c r="E160" s="1" t="s">
        <v>1015</v>
      </c>
      <c r="F160" s="5" t="s">
        <v>1016</v>
      </c>
      <c r="G160" s="4" t="s">
        <v>1014</v>
      </c>
      <c r="H160" s="1"/>
      <c r="I160" s="5"/>
      <c r="J160" s="1"/>
      <c r="K160" s="1"/>
      <c r="L160" s="1"/>
      <c r="M160" s="4" t="s">
        <v>1021</v>
      </c>
    </row>
    <row r="161" spans="1:13" ht="195" x14ac:dyDescent="0.25">
      <c r="A161" s="1" t="str">
        <f>IF(receta!A161="","",receta!A161)</f>
        <v>Ramos Fizz</v>
      </c>
      <c r="B161" s="4" t="s">
        <v>838</v>
      </c>
      <c r="C161" s="4" t="s">
        <v>1086</v>
      </c>
      <c r="D161" s="4"/>
      <c r="E161" s="1"/>
      <c r="F161" s="1"/>
      <c r="G161" s="1"/>
      <c r="H161" s="1"/>
      <c r="I161" s="5"/>
      <c r="J161" s="1"/>
      <c r="K161" s="1"/>
      <c r="L161" s="1"/>
      <c r="M161" s="4" t="s">
        <v>1087</v>
      </c>
    </row>
    <row r="162" spans="1:13" ht="195" x14ac:dyDescent="0.25">
      <c r="A162" s="1" t="str">
        <f>IF(receta!A162="","",receta!A162)</f>
        <v>Gin Fizz</v>
      </c>
      <c r="B162" s="4" t="s">
        <v>834</v>
      </c>
      <c r="C162" s="4" t="s">
        <v>837</v>
      </c>
      <c r="D162" s="4"/>
      <c r="E162" s="1" t="s">
        <v>836</v>
      </c>
      <c r="F162" s="5" t="s">
        <v>835</v>
      </c>
      <c r="G162" s="5"/>
      <c r="H162" s="5"/>
      <c r="I162" s="5"/>
      <c r="J162" s="1"/>
      <c r="K162" s="1"/>
      <c r="L162" s="1"/>
      <c r="M162" s="1"/>
    </row>
    <row r="163" spans="1:13" ht="255" x14ac:dyDescent="0.25">
      <c r="A163" s="1" t="str">
        <f>IF(receta!A163="","",receta!A163)</f>
        <v>Carta Breve</v>
      </c>
      <c r="B163" s="1"/>
      <c r="C163" s="4" t="s">
        <v>850</v>
      </c>
      <c r="D163" s="4" t="s">
        <v>849</v>
      </c>
      <c r="E163" s="1" t="s">
        <v>1085</v>
      </c>
      <c r="F163" s="5" t="s">
        <v>851</v>
      </c>
      <c r="G163" s="5"/>
      <c r="H163" s="1"/>
      <c r="I163" s="5"/>
      <c r="J163" s="1"/>
      <c r="K163" s="1"/>
      <c r="L163" s="1"/>
      <c r="M163" s="4" t="s">
        <v>971</v>
      </c>
    </row>
    <row r="164" spans="1:13" ht="409.5" x14ac:dyDescent="0.25">
      <c r="A164" s="1" t="str">
        <f>IF(receta!A164="","",receta!A164)</f>
        <v>Orgasmo</v>
      </c>
      <c r="B164" s="4"/>
      <c r="C164" s="4" t="s">
        <v>860</v>
      </c>
      <c r="D164" s="4" t="s">
        <v>857</v>
      </c>
      <c r="E164" s="1" t="s">
        <v>855</v>
      </c>
      <c r="F164" s="5" t="s">
        <v>854</v>
      </c>
      <c r="G164" s="5"/>
      <c r="H164" s="1"/>
      <c r="I164" s="5"/>
      <c r="J164" s="1" t="s">
        <v>862</v>
      </c>
      <c r="K164" s="1" t="s">
        <v>861</v>
      </c>
      <c r="L164" s="1"/>
      <c r="M164" s="4" t="s">
        <v>856</v>
      </c>
    </row>
    <row r="165" spans="1:13" ht="409.5" x14ac:dyDescent="0.25">
      <c r="A165" s="1" t="str">
        <f>IF(receta!A165="","",receta!A165)</f>
        <v>Pihuelo</v>
      </c>
      <c r="B165" s="4" t="s">
        <v>865</v>
      </c>
      <c r="C165" s="4" t="s">
        <v>866</v>
      </c>
      <c r="D165" s="4" t="s">
        <v>869</v>
      </c>
      <c r="E165" s="4" t="s">
        <v>1026</v>
      </c>
      <c r="F165" s="5" t="s">
        <v>1027</v>
      </c>
      <c r="G165" s="1" t="s">
        <v>1028</v>
      </c>
      <c r="H165" s="1"/>
      <c r="I165" s="5"/>
      <c r="J165" s="1"/>
      <c r="K165" s="1"/>
      <c r="L165" s="1"/>
      <c r="M165" s="4" t="s">
        <v>985</v>
      </c>
    </row>
    <row r="166" spans="1:13" ht="409.5" x14ac:dyDescent="0.25">
      <c r="A166" s="1" t="str">
        <f>IF(receta!A166="","",receta!A166)</f>
        <v>Mojito Sandía</v>
      </c>
      <c r="B166" s="4" t="s">
        <v>877</v>
      </c>
      <c r="C166" s="4" t="s">
        <v>878</v>
      </c>
      <c r="D166" s="4" t="s">
        <v>882</v>
      </c>
      <c r="E166" s="1" t="s">
        <v>875</v>
      </c>
      <c r="F166" s="5" t="s">
        <v>876</v>
      </c>
      <c r="G166" s="5"/>
      <c r="H166" s="1"/>
      <c r="I166" s="5"/>
      <c r="J166" s="1"/>
      <c r="K166" s="1"/>
      <c r="L166" s="1"/>
      <c r="M166" s="4" t="s">
        <v>883</v>
      </c>
    </row>
    <row r="167" spans="1:13" ht="409.5" x14ac:dyDescent="0.25">
      <c r="A167" s="1" t="str">
        <f>IF(receta!A167="","",receta!A167)</f>
        <v>Boulevardier</v>
      </c>
      <c r="B167" s="1"/>
      <c r="C167" s="4" t="s">
        <v>888</v>
      </c>
      <c r="D167" s="4"/>
      <c r="E167" s="1"/>
      <c r="F167" s="1"/>
      <c r="G167" s="1"/>
      <c r="H167" s="1"/>
      <c r="I167" s="5"/>
      <c r="J167" s="1"/>
      <c r="K167" s="1"/>
      <c r="L167" s="1"/>
      <c r="M167" s="4" t="s">
        <v>1041</v>
      </c>
    </row>
    <row r="168" spans="1:13" ht="180" x14ac:dyDescent="0.25">
      <c r="A168" s="1" t="str">
        <f>IF(receta!A168="","",receta!A168)</f>
        <v>Old Pal</v>
      </c>
      <c r="B168" s="1"/>
      <c r="C168" s="4" t="s">
        <v>998</v>
      </c>
      <c r="D168" s="4"/>
      <c r="E168" s="1"/>
      <c r="F168" s="1"/>
      <c r="G168" s="1"/>
      <c r="H168" s="1"/>
      <c r="I168" s="5"/>
      <c r="J168" s="1"/>
      <c r="K168" s="1"/>
      <c r="L168" s="1"/>
      <c r="M168" s="4" t="s">
        <v>1002</v>
      </c>
    </row>
    <row r="169" spans="1:13" ht="120" x14ac:dyDescent="0.25">
      <c r="A169" s="1" t="str">
        <f>IF(receta!A169="","",receta!A169)</f>
        <v>Chardonnay Sour</v>
      </c>
      <c r="B169" s="4" t="s">
        <v>892</v>
      </c>
      <c r="C169" s="4" t="s">
        <v>894</v>
      </c>
      <c r="D169" s="4"/>
      <c r="E169" s="1"/>
      <c r="F169" s="1"/>
      <c r="G169" s="1"/>
      <c r="H169" s="1"/>
      <c r="I169" s="5"/>
      <c r="J169" s="1"/>
      <c r="K169" s="1"/>
      <c r="L169" s="1"/>
      <c r="M169" s="1"/>
    </row>
    <row r="170" spans="1:13" ht="409.5" x14ac:dyDescent="0.25">
      <c r="A170" s="1" t="str">
        <f>IF(receta!A170="","",receta!A170)</f>
        <v>Carmenere Sour</v>
      </c>
      <c r="B170" s="4" t="s">
        <v>893</v>
      </c>
      <c r="C170" s="4" t="s">
        <v>896</v>
      </c>
      <c r="D170" s="4" t="s">
        <v>904</v>
      </c>
      <c r="E170" s="1" t="s">
        <v>470</v>
      </c>
      <c r="F170" s="1" t="s">
        <v>469</v>
      </c>
      <c r="G170" s="1"/>
      <c r="H170" s="1"/>
      <c r="I170" s="5"/>
      <c r="J170" s="1"/>
      <c r="K170" s="1"/>
      <c r="L170" s="1"/>
      <c r="M170" s="4" t="s">
        <v>895</v>
      </c>
    </row>
    <row r="171" spans="1:13" ht="409.5" x14ac:dyDescent="0.25">
      <c r="A171" s="1" t="str">
        <f>IF(receta!A171="","",receta!A171)</f>
        <v>Jerez Sour</v>
      </c>
      <c r="B171" s="4" t="s">
        <v>893</v>
      </c>
      <c r="C171" s="4" t="s">
        <v>902</v>
      </c>
      <c r="D171" s="4" t="s">
        <v>885</v>
      </c>
      <c r="E171" s="1"/>
      <c r="F171" s="1"/>
      <c r="G171" s="1"/>
      <c r="H171" s="1"/>
      <c r="I171" s="5"/>
      <c r="J171" s="1"/>
      <c r="K171" s="1"/>
      <c r="L171" s="1"/>
      <c r="M171" s="4" t="s">
        <v>900</v>
      </c>
    </row>
    <row r="172" spans="1:13" ht="180" x14ac:dyDescent="0.25">
      <c r="A172" s="1" t="str">
        <f>IF(receta!A172="","",receta!A172)</f>
        <v>Gold Rush</v>
      </c>
      <c r="B172" s="4"/>
      <c r="C172" s="4" t="s">
        <v>1060</v>
      </c>
      <c r="D172" s="4"/>
      <c r="E172" s="1"/>
      <c r="F172" s="1"/>
      <c r="G172" s="1"/>
      <c r="H172" s="1"/>
      <c r="I172" s="5"/>
      <c r="J172" s="1"/>
      <c r="K172" s="1"/>
      <c r="L172" s="1"/>
      <c r="M172" s="4" t="s">
        <v>1061</v>
      </c>
    </row>
    <row r="173" spans="1:13" ht="105" x14ac:dyDescent="0.25">
      <c r="A173" s="1" t="str">
        <f>IF(receta!A173="","",receta!A173)</f>
        <v>Campari &amp; Tonic</v>
      </c>
      <c r="B173" s="1"/>
      <c r="C173" s="4"/>
      <c r="D173" s="4"/>
      <c r="E173" s="1"/>
      <c r="F173" s="1"/>
      <c r="G173" s="1"/>
      <c r="H173" s="1"/>
      <c r="I173" s="5"/>
      <c r="J173" s="1"/>
      <c r="K173" s="1"/>
      <c r="L173" s="1"/>
      <c r="M173" s="4" t="s">
        <v>1081</v>
      </c>
    </row>
    <row r="174" spans="1:13" ht="135" x14ac:dyDescent="0.25">
      <c r="A174" s="1" t="str">
        <f>IF(receta!A174="","",receta!A174)</f>
        <v>Campari Spritz</v>
      </c>
      <c r="B174" s="4" t="s">
        <v>1082</v>
      </c>
      <c r="C174" s="4"/>
      <c r="D174" s="4"/>
      <c r="E174" s="1"/>
      <c r="F174" s="1"/>
      <c r="G174" s="1"/>
      <c r="H174" s="1"/>
      <c r="I174" s="5"/>
      <c r="J174" s="1"/>
      <c r="K174" s="1"/>
      <c r="L174" s="1"/>
      <c r="M174" s="4" t="s">
        <v>1080</v>
      </c>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s>
  <pageMargins left="0.7" right="0.7" top="0.75" bottom="0.75" header="0.3" footer="0.3"/>
  <pageSetup orientation="portrait" r:id="rId8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772</v>
      </c>
      <c r="C2" t="s">
        <v>575</v>
      </c>
    </row>
    <row r="3" spans="1:3" x14ac:dyDescent="0.25">
      <c r="A3" t="s">
        <v>67</v>
      </c>
      <c r="B3" t="s">
        <v>773</v>
      </c>
      <c r="C3" t="s">
        <v>202</v>
      </c>
    </row>
    <row r="4" spans="1:3" x14ac:dyDescent="0.25">
      <c r="A4" t="s">
        <v>68</v>
      </c>
      <c r="B4" t="s">
        <v>774</v>
      </c>
      <c r="C4" t="s">
        <v>612</v>
      </c>
    </row>
    <row r="5" spans="1:3" x14ac:dyDescent="0.25">
      <c r="A5" t="s">
        <v>63</v>
      </c>
      <c r="B5" t="s">
        <v>775</v>
      </c>
      <c r="C5" t="s">
        <v>203</v>
      </c>
    </row>
    <row r="6" spans="1:3" x14ac:dyDescent="0.25">
      <c r="A6" t="s">
        <v>69</v>
      </c>
      <c r="B6" t="s">
        <v>777</v>
      </c>
      <c r="C6" t="s">
        <v>779</v>
      </c>
    </row>
    <row r="7" spans="1:3" x14ac:dyDescent="0.25">
      <c r="A7" t="s">
        <v>70</v>
      </c>
      <c r="B7" t="s">
        <v>776</v>
      </c>
      <c r="C7" t="s">
        <v>71</v>
      </c>
    </row>
    <row r="8" spans="1:3" x14ac:dyDescent="0.25">
      <c r="A8" t="s">
        <v>730</v>
      </c>
      <c r="B8" t="s">
        <v>780</v>
      </c>
      <c r="C8" t="s">
        <v>778</v>
      </c>
    </row>
    <row r="9" spans="1:3" x14ac:dyDescent="0.25">
      <c r="A9" t="s">
        <v>806</v>
      </c>
      <c r="B9" t="s">
        <v>807</v>
      </c>
      <c r="C9" t="s">
        <v>808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516</v>
      </c>
    </row>
    <row r="3" spans="1:2" ht="90" x14ac:dyDescent="0.25">
      <c r="A3" s="23" t="s">
        <v>116</v>
      </c>
      <c r="B3" s="23" t="s">
        <v>517</v>
      </c>
    </row>
    <row r="4" spans="1:2" ht="90" x14ac:dyDescent="0.25">
      <c r="A4" s="23" t="s">
        <v>117</v>
      </c>
      <c r="B4" s="23" t="s">
        <v>518</v>
      </c>
    </row>
    <row r="5" spans="1:2" ht="75" x14ac:dyDescent="0.25">
      <c r="A5" s="23" t="s">
        <v>118</v>
      </c>
      <c r="B5" s="23" t="s">
        <v>519</v>
      </c>
    </row>
    <row r="6" spans="1:2" ht="75" x14ac:dyDescent="0.25">
      <c r="A6" s="23" t="s">
        <v>119</v>
      </c>
      <c r="B6" s="23" t="s">
        <v>520</v>
      </c>
    </row>
    <row r="7" spans="1:2" ht="75" x14ac:dyDescent="0.25">
      <c r="A7" s="23" t="s">
        <v>120</v>
      </c>
      <c r="B7" s="23" t="s">
        <v>521</v>
      </c>
    </row>
    <row r="8" spans="1:2" ht="90" x14ac:dyDescent="0.25">
      <c r="A8" s="23" t="s">
        <v>215</v>
      </c>
      <c r="B8" s="23" t="s">
        <v>522</v>
      </c>
    </row>
    <row r="9" spans="1:2" ht="75" x14ac:dyDescent="0.25">
      <c r="A9" s="23" t="s">
        <v>428</v>
      </c>
      <c r="B9" s="23" t="s">
        <v>766</v>
      </c>
    </row>
    <row r="10" spans="1:2" ht="90" x14ac:dyDescent="0.25">
      <c r="A10" s="23" t="s">
        <v>515</v>
      </c>
      <c r="B10" s="23" t="s">
        <v>523</v>
      </c>
    </row>
    <row r="11" spans="1:2" ht="90" x14ac:dyDescent="0.25">
      <c r="A11" s="23" t="s">
        <v>700</v>
      </c>
      <c r="B11" s="23" t="s">
        <v>701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2026-02-11T16:44:10Z</dcterms:modified>
</cp:coreProperties>
</file>