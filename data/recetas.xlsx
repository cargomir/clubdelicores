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A83BE708-6FCC-468D-8445-89E575A172DA}"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<sst xmlns="http://schemas.openxmlformats.org/spreadsheetml/2006/main" count="1602" uniqueCount="1058">
  <si>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</si>
  <si>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</si>
  <si>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</si>
  <si>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</si>
  <si>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</si>
  <si>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</si>
  <si>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</si>
  <si>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</si>
  <si>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</si>
  <si>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</si>
  <si>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</si>
  <si>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</si>
  <si>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</si>
  <si>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</si>
  <si>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</si>
  <si>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</si>
  <si>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</si>
  <si>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</si>
  <si>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</si>
  <si>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</si>
  <si>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</si>
  <si>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</si>
  <si>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</si>
  <si>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</si>
  <si>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</si>
  <si>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</si>
  <si>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</si>
  <si>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</si>
  <si>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</si>
  <si>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</si>
  <si>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</si>
  <si>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</si>
  <si>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</si>
  <si>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</si>
  <si>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</si>
  <si>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</si>
  <si>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</si>
  <si>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</si>
  <si>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</si>
  <si>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</si>
  <si>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</si>
  <si>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</si>
  <si>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</si>
  <si>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</si>
  <si>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</si>
  <si>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</si>
  <si>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</si>
  <si>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</si>
  <si>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</si>
  <si>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</si>
  <si>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</si>
  <si>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</si>
  <si>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</si>
  <si>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</si>
  <si>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</si>
  <si>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</si>
  <si>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</si>
  <si>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</si>
  <si>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</si>
  <si>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</si>
  <si>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</si>
  <si>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</si>
  <si>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</si>
  <si>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</si>
  <si>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</si>
  <si>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</si>
  <si>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</si>
  <si>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</si>
  <si>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</si>
  <si>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</si>
  <si>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</si>
  <si>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</si>
  <si>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</si>
  <si>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</si>
  <si>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</si>
  <si>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</si>
  <si>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</si>
  <si>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</si>
  <si>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</si>
  <si>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</si>
  <si>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</si>
  <si>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</si>
  <si>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</si>
  <si>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</si>
  <si>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</si>
  <si>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</si>
  <si>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</si>
  <si>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</si>
  <si>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</si>
  <si>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</si>
  <si>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</si>
  <si>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</si>
  <si>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</si>
  <si>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</si>
  <si>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</si>
  <si>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</si>
  <si>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</si>
  <si>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</si>
  <si>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</si>
  <si>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</si>
  <si>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</si>
  <si>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</si>
  <si>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</si>
  <si>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</si>
  <si>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</si>
  <si>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</si>
  <si>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</si>
  <si>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</si>
  <si>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</si>
  <si>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</si>
  <si>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</si>
  <si>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</si>
  <si>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</si>
  <si>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</si>
  <si>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</si>
  <si>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</si>
  <si>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</si>
  <si>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</si>
  <si>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</si>
  <si>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</si>
  <si>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</si>
  <si>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</si>
  <si>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</si>
  <si>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</si>
  <si>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</si>
  <si>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</si>
  <si>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</si>
  <si>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</si>
  <si>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</si>
  <si>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</si>
  <si>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</si>
  <si>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</si>
  <si>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</si>
  <si>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</si>
  <si>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</si>
  <si>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</si>
  <si>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</si>
  <si>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</si>
  <si>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</si>
  <si>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</si>
  <si>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</si>
  <si>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</si>
  <si>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</si>
  <si>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</si>
  <si>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</si>
  <si>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</si>
  <si>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</si>
  <si>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</si>
  <si>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</si>
  <si>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</si>
  <si>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</si>
  <si>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</si>
  <si>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</si>
  <si>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</si>
  <si>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</si>
  <si>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</si>
  <si>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</si>
  <si>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</si>
  <si>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</si>
  <si>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</si>
  <si>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</si>
  <si>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</si>
  <si>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</si>
  <si>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</si>
  <si>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</si>
  <si>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</si>
  <si>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</si>
  <si>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</si>
  <si>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</si>
  <si>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</si>
  <si>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</si>
  <si>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</si>
  <si>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</si>
  <si>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</si>
  <si>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</si>
  <si>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</si>
  <si>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</si>
  <si>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</si>
  <si>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</si>
  <si>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</si>
  <si>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</si>
  <si>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</si>
  <si>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</si>
  <si>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</si>
  <si>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</si>
  <si>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</si>
  <si>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</si>
  <si>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</si>
  <si>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</si>
  <si>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</si>
  <si>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</si>
  <si>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</si>
  <si>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</si>
  <si>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</si>
  <si>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</si>
  <si>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</si>
  <si>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</si>
  <si>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</si>
  <si>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</si>
  <si>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</si>
  <si>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</si>
  <si>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</si>
  <si>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</si>
  <si>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</si>
  <si>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</si>
  <si>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</si>
  <si>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</si>
  <si>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</si>
  <si>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</si>
  <si>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</si>
  <si>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</si>
  <si>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</si>
  <si>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</si>
  <si>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</si>
  <si>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</si>
  <si>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</si>
  <si>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</si>
  <si>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</si>
  <si>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</si>
  <si>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</si>
  <si>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</si>
  <si>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</si>
  <si>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</si>
  <si>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</si>
  <si>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</si>
  <si>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</si>
  <si>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</si>
  <si>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</si>
  <si>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</si>
  <si>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</si>
  <si>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</si>
  <si>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</si>
  <si>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</si>
  <si>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</si>
  <si>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</si>
  <si>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</si>
  <si>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</si>
  <si>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</si>
  <si>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</si>
  <si>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</si>
  <si>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</si>
  <si>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</si>
  <si>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</si>
  <si>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</si>
  <si>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</si>
  <si>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</si>
  <si>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</si>
  <si>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</si>
  <si>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</si>
  <si>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</si>
  <si>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</si>
  <si>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</si>
  <si>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</si>
  <si>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</si>
  <si>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</si>
  <si>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</si>
  <si>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</si>
  <si>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</si>
  <si>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</si>
  <si>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</si>
  <si>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</si>
  <si>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</si>
  <si>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</si>
  <si>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</si>
  <si>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</si>
  <si>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</si>
  <si>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</si>
  <si>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</si>
  <si>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</si>
  <si>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</si>
  <si>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</si>
  <si>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</si>
  <si>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</si>
  <si>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</si>
  <si>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</si>
  <si>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</si>
  <si>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</si>
  <si>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</si>
  <si>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</si>
  <si>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</si>
  <si>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</si>
  <si>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</si>
  <si>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</si>
  <si>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</si>
  <si>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</si>
  <si>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</si>
  <si>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</si>
  <si>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</si>
  <si>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</si>
  <si>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</si>
  <si>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</si>
  <si>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</si>
  <si>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</si>
  <si>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</si>
  <si>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</si>
  <si>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</si>
  <si>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</si>
  <si>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</si>
  <si>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</si>
  <si>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</si>
  <si>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</si>
  <si>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</si>
  <si>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</si>
  <si>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</si>
  <si>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</si>
  <si>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</si>
  <si>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</si>
  <si>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</si>
  <si>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</si>
  <si>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</si>
  <si>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</si>
  <si>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</si>
  <si>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</si>
  <si>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</si>
  <si>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</si>
  <si>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</si>
  <si>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</si>
  <si>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</si>
  <si>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</si>
  <si>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</si>
  <si>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</si>
  <si>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</si>
  <si>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</si>
  <si>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</si>
  <si>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</si>
  <si>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</si>
  <si>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</si>
  <si>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</si>
  <si>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</si>
  <si>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</si>
  <si>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</si>
  <si>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</si>
  <si>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</si>
  <si>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</si>
  <si>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</si>
  <si>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</si>
  <si>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</si>
  <si>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</si>
  <si>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</si>
  <si>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</si>
  <si>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</si>
  <si>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</si>
  <si>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</si>
  <si>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</si>
  <si>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</si>
  <si>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</si>
  <si>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</si>
  <si>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</si>
  <si>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</si>
  <si>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</si>
  <si>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</si>
  <si>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</si>
  <si>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</si>
  <si>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</si>
  <si>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</si>
  <si>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</si>
  <si>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</si>
  <si>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</si>
  <si>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</si>
  <si>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</si>
  <si>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</si>
  <si>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</si>
  <si>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</si>
  <si>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</si>
  <si>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</si>
  <si>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</si>
  <si>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</si>
  <si>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</si>
  <si>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</si>
  <si>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</si>
  <si>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</si>
  <si>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</si>
  <si>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</si>
  <si>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</si>
  <si>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</si>
  <si>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</si>
  <si>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</si>
  <si>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</si>
  <si>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</si>
  <si>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</si>
  <si>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</si>
  <si>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</si>
  <si>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</si>
  <si>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</si>
  <si>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</si>
  <si>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</si>
  <si>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</si>
  <si>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</si>
  <si>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</si>
  <si>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</si>
  <si>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</si>
  <si>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</si>
  <si>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</si>
  <si>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</si>
  <si>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</si>
  <si>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</si>
  <si>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</si>
  <si>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</si>
  <si>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</si>
  <si>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</si>
  <si>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</si>
  <si>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</si>
  <si>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</si>
  <si>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</si>
  <si>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</si>
  <si>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</si>
  <si>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</si>
  <si>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</si>
  <si>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</si>
  <si>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</si>
  <si>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</si>
  <si>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</si>
  <si>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</si>
  <si>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</si>
  <si>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</si>
  <si>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</si>
  <si>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</si>
  <si>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</si>
  <si>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</si>
  <si>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</si>
  <si>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</si>
  <si>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</si>
  <si>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</si>
  <si>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</si>
  <si>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</si>
  <si>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</si>
  <si>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</si>
  <si>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</si>
  <si>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</si>
  <si>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</si>
  <si>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</si>
  <si>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</si>
  <si>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</si>
  <si>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</si>
  <si>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</si>
  <si>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</si>
  <si>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</si>
  <si>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</si>
  <si>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</si>
  <si>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</si>
  <si>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</si>
  <si>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</si>
  <si>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</si>
  <si>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</si>
  <si>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</si>
  <si>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</si>
  <si>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</si>
  <si>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</si>
  <si>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</si>
  <si>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</si>
  <si>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</si>
  <si>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</si>
  <si>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</si>
  <si>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</si>
  <si>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</si>
  <si>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</si>
  <si>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</si>
  <si>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</si>
  <si>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</si>
  <si>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</si>
  <si>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</si>
  <si>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</si>
  <si>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</si>
  <si>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</si>
  <si>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</si>
  <si>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</si>
  <si>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</si>
  <si>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</si>
  <si>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</si>
  <si>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</si>
  <si>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</si>
  <si>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</si>
  <si>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</si>
  <si>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</si>
  <si>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</si>
  <si>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</si>
  <si>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</si>
  <si>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</si>
  <si>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</si>
  <si>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</si>
  <si>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</si>
  <si>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</si>
  <si>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</si>
  <si>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</si>
  <si>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</si>
  <si>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</si>
  <si>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</si>
  <si>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</si>
  <si>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</si>
  <si>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</si>
  <si>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</si>
  <si>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</si>
  <si>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</si>
  <si>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</si>
  <si>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</si>
  <si>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</si>
  <si>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</si>
  <si>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</si>
  <si>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</si>
  <si>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</si>
  <si>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</si>
  <si>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</si>
  <si>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</si>
  <si>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</si>
  <si>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</si>
  <si>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</si>
  <si>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</si>
  <si>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</si>
  <si>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</si>
  <si>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</si>
  <si>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</si>
  <si>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</si>
  <si>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</si>
  <si>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</si>
  <si>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</si>
  <si>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</si>
  <si>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</si>
  <si>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</si>
  <si>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</si>
  <si>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</si>
  <si>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</si>
  <si>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</si>
  <si>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</si>
  <si>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</si>
  <si>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</si>
  <si>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</si>
  <si>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</si>
  <si>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</si>
  <si>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</si>
  <si>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</si>
  <si>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</si>
  <si>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</si>
  <si>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</si>
  <si>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</si>
  <si>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</si>
  <si>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</si>
  <si>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</si>
  <si>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</si>
  <si>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</si>
  <si>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</si>
  <si>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</si>
  <si>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</si>
  <si>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</si>
  <si>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</si>
  <si>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</si>
  <si>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</si>
  <si>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</si>
  <si>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</si>
  <si>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</si>
  <si>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</si>
  <si>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</si>
  <si>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</si>
  <si>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</si>
  <si>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</si>
  <si>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</si>
  <si>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</si>
  <si>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</si>
  <si>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</si>
  <si>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</si>
  <si>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</si>
  <si>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</si>
  <si>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</si>
  <si>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</si>
  <si>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</si>
  <si>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</si>
  <si>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</si>
  <si>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</si>
  <si>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</si>
  <si>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</si>
  <si>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</si>
  <si>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</si>
  <si>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</si>
  <si>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</si>
  <si>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</si>
  <si>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</si>
  <si>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</si>
  <si>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</si>
  <si>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</si>
  <si>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</si>
  <si>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</si>
  <si>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</si>
  <si>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</si>
  <si>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</si>
  <si>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</si>
  <si>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</si>
  <si>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</si>
  <si>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</si>
  <si>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</si>
  <si>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</si>
  <si>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</si>
  <si>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</si>
  <si>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</si>
  <si>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</si>
  <si>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</si>
  <si>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</si>
  <si>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</si>
  <si>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</si>
  <si>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</si>
  <si>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</si>
  <si>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</si>
  <si>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</si>
  <si>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</si>
  <si>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</si>
  <si>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</si>
  <si>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</si>
  <si>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</si>
  <si>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</si>
  <si>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</si>
  <si>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</si>
  <si>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</si>
  <si>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</si>
  <si>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</si>
  <si>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</si>
  <si>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</si>
  <si>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</si>
  <si>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</si>
  <si>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</si>
  <si>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</si>
  <si>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</si>
  <si>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</si>
  <si>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</si>
  <si>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</si>
  <si>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</si>
  <si>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</si>
  <si>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</si>
  <si>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</si>
  <si>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</si>
  <si>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</si>
  <si>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</si>
  <si>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</si>
  <si>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</si>
  <si>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</si>
  <si>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</si>
  <si>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</si>
  <si>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</si>
  <si>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</si>
  <si>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</si>
  <si>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</si>
  <si>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</si>
  <si>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</si>
  <si>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</si>
  <si>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</si>
  <si>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</si>
  <si>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</si>
  <si>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</si>
  <si>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</si>
  <si>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</si>
  <si>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</si>
  <si>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</si>
  <si>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</si>
  <si>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</si>
  <si>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</si>
  <si>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</si>
  <si>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</si>
  <si>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</si>
  <si>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</si>
  <si>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</si>
  <si>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</si>
  <si>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</si>
  <si>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</si>
  <si>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</si>
  <si>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</si>
  <si>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</si>
  <si>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</si>
  <si>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</si>
  <si>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</si>
  <si>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</si>
  <si>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</si>
  <si>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</si>
  <si>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</si>
  <si>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</si>
  <si>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</si>
  <si>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</si>
  <si>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</si>
  <si>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</si>
  <si>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</si>
  <si>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</si>
  <si>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</si>
  <si>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</si>
  <si>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</si>
  <si>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</si>
  <si>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</si>
  <si>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</si>
  <si>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</si>
  <si>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</si>
  <si>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</si>
  <si>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</si>
  <si>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</si>
  <si>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</si>
  <si>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</si>
  <si>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</si>
  <si>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</si>
  <si>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</si>
  <si>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</si>
  <si>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</si>
  <si>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</si>
  <si>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</si>
  <si>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</si>
  <si>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</si>
  <si>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</si>
  <si>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</si>
  <si>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</si>
  <si>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</si>
  <si>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</si>
  <si>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</si>
  <si>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</si>
  <si>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</si>
  <si>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</si>
  <si>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</si>
  <si>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</si>
  <si>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</si>
  <si>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</si>
  <si>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</si>
  <si>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</si>
  <si>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</si>
  <si>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</si>
  <si>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</si>
  <si>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</si>
  <si>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</si>
  <si>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</si>
  <si>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</si>
  <si>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</si>
  <si>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</si>
  <si>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</si>
  <si>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</si>
  <si>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</si>
  <si>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</si>
  <si>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</si>
  <si>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</si>
  <si>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</si>
  <si>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</si>
  <si>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</si>
  <si>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</si>
  <si>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</si>
  <si>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</si>
  <si>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</si>
  <si>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</si>
  <si>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</si>
  <si>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</si>
  <si>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</si>
  <si>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</si>
  <si>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</si>
  <si>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</si>
  <si>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</si>
  <si>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</si>
  <si>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</si>
  <si>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</si>
  <si>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</si>
  <si>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</si>
  <si>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</si>
  <si>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</si>
  <si>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</si>
  <si>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</si>
  <si>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</si>
  <si>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</si>
  <si>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</si>
  <si>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</si>
  <si>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</si>
  <si>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</si>
  <si>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</si>
  <si>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</si>
  <si>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</si>
  <si>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</si>
  <si>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</si>
  <si>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</si>
  <si>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</si>
  <si>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</si>
  <si>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</si>
  <si>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</si>
  <si>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</si>
  <si>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</si>
  <si>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</si>
  <si>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</si>
  <si>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</si>
  <si>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</si>
  <si>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</si>
  <si>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</si>
  <si>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</si>
  <si>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</si>
  <si>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</si>
  <si>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</si>
  <si>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</si>
  <si>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</si>
  <si>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</si>
  <si>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</si>
  <si>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</si>
  <si>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</si>
  <si>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</si>
  <si>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</si>
  <si>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</si>
  <si>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</si>
  <si>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</si>
  <si>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</si>
  <si>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</si>
  <si>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</si>
  <si>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</si>
  <si>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</si>
  <si>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</si>
  <si>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</si>
  <si>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</si>
  <si>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</si>
  <si>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</si>
  <si>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</si>
  <si>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</si>
  <si>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</si>
  <si>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</si>
  <si>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</si>
  <si>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</si>
  <si>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</si>
  <si>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</si>
  <si>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</si>
  <si>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</si>
  <si>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</si>
  <si>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</si>
  <si>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</si>
  <si>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</si>
  <si>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</si>
  <si>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</si>
  <si>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</si>
  <si>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</si>
  <si>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</si>
  <si>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</si>
  <si>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</si>
  <si>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</si>
  <si>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</si>
  <si>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</si>
  <si>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</si>
  <si>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</si>
  <si>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</si>
  <si>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</si>
  <si>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</si>
  <si>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</si>
  <si>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</si>
  <si>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</si>
  <si>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</si>
  <si>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</si>
  <si>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</si>
  <si>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</si>
  <si>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</si>
  <si>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</si>
  <si>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</si>
  <si>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</si>
  <si>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</si>
  <si>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</si>
  <si>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</si>
  <si>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</si>
  <si>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</si>
  <si>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</si>
  <si>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</si>
  <si>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</si>
  <si>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</si>
  <si>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</si>
  <si>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</si>
  <si>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</si>
  <si>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</si>
  <si>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</si>
  <si>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</si>
  <si>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</si>
  <si>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</si>
  <si>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</si>
  <si>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</si>
  <si>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</si>
  <si>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</si>
  <si>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</si>
  <si>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</si>
  <si>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</si>
  <si>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</si>
  <si>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</si>
  <si>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</si>
  <si>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</si>
  <si>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</si>
  <si>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</si>
  <si>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</si>
  <si>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</si>
  <si>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</si>
  <si>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</si>
  <si>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</si>
  <si>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</si>
  <si>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</si>
  <si>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</si>
  <si>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</si>
  <si>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</si>
  <si>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</si>
  <si>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</si>
  <si>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</si>
  <si>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</si>
  <si>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</si>
  <si>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</si>
  <si>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</si>
  <si>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</si>
  <si>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</si>
  <si>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</si>
  <si>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</si>
  <si>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</si>
  <si>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</si>
  <si>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</si>
  <si>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</si>
  <si>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</si>
  <si>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</si>
  <si>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</si>
  <si>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</si>
  <si>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</si>
  <si>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</si>
  <si>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</si>
  <si>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</si>
  <si>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</si>
  <si>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</si>
  <si>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</si>
  <si>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</si>
  <si>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</si>
  <si>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</si>
  <si>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</si>
  <si>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</si>
  <si>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</si>
  <si>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</si>
  <si>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</si>
  <si>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</si>
  <si>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</si>
  <si>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</si>
  <si>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</si>
  <si>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</si>
  <si>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</si>
  <si>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</si>
  <si>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</si>
  <si>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</si>
  <si>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</si>
  <si>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</si>
  <si>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</si>
  <si>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</si>
  <si>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</si>
  <si>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</si>
  <si>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</si>
  <si>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</si>
  <si>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</si>
  <si>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</si>
  <si>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</si>
  <si>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</si>
  <si>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</si>
  <si>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</si>
  <si>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</si>
  <si>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</si>
  <si>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</si>
  <si>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</si>
  <si>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</si>
  <si>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</si>
  <si>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</si>
  <si>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</si>
  <si>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</si>
  <si>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</si>
  <si>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</si>
  <si>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</si>
  <si>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</si>
  <si>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</si>
  <si>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</si>
  <si>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</si>
  <si>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</si>
  <si>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</si>
  <si>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</si>
  <si>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</si>
  <si>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</si>
  <si>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</si>
  <si>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</si>
  <si>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</si>
  <si>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</si>
  <si>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</si>
  <si>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</si>
  <si>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</si>
  <si>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</si>
  <si>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</si>
  <si>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</si>
  <si>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</si>
  <si>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</si>
  <si>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</si>
  <si>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</si>
  <si>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</si>
  <si>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</si>
  <si>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</si>
  <si>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</si>
  <si>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</si>
  <si>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</si>
  <si>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</si>
  <si>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</si>
  <si>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</si>
  <si>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</si>
  <si>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</si>
  <si>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</si>
  <si>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</si>
  <si>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</si>
  <si>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</si>
  <si>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</si>
  <si>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</si>
  <si>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</si>
  <si>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</si>
  <si>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</si>
  <si>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</si>
  <si>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</si>
  <si>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</si>
  <si>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</si>
  <si>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</si>
  <si>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</si>
  <si>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</si>
  <si>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</si>
  <si>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</si>
  <si>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</si>
  <si>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</si>
  <si>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</si>
  <si>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</si>
  <si>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</si>
  <si>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</si>
  <si>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</si>
  <si>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</si>
  <si>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</si>
  <si>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</si>
  <si>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</si>
  <si>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</si>
  <si>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</si>
  <si>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</si>
  <si>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</si>
  <si>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</si>
  <si>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</si>
  <si>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</si>
  <si>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</si>
  <si>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</si>
  <si>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</si>
  <si>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</si>
  <si>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</si>
  <si>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</si>
  <si>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</si>
  <si>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</si>
  <si>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</si>
  <si>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</si>
  <si>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</si>
  <si>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</si>
  <si>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</si>
  <si>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</si>
  <si>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</si>
  <si>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</si>
  <si>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</si>
  <si>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</si>
  <si>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</si>
  <si>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</si>
  <si>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</si>
  <si>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</si>
  <si>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</si>
  <si>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</si>
  <si>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</si>
  <si>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</si>
  <si>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</si>
  <si>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</si>
  <si>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</si>
  <si>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</si>
  <si>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</si>
  <si>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</si>
  <si>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</si>
  <si>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</si>
  <si>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Biblioteca vintage de coctelería de la EUVS (Exposition Universelle des Vins et Spiritueux), una organización dedicada a la difusión de la cultura y la historia de los vinos, destilados y la coctelería. Dentro de sus proyectos mantienen esta biblioteca digital, donde han reunido y digitalizado libros antiguos de cócteles, muchos de ellos de fines del siglo XIX y comienzos del XX, provenientes de colecciones privadas e investigadores.
Permite hojearlos en línea y ver cómo se preparaban los tragos en otras épocas, qué ingredientes se usaban y cómo ha evolucionado la coctelería a lo largo del tiempo.</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</si>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</sst>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d0PioYGdLI4" TargetMode="External"/><Relationship Id="rId47" Type="http://schemas.openxmlformats.org/officeDocument/2006/relationships/hyperlink" Target="https://www.youtube.com/watch?v=EhK8PDUQUfI" TargetMode="External"/><Relationship Id="rId63" Type="http://schemas.openxmlformats.org/officeDocument/2006/relationships/hyperlink" Target="https://www.youtube.com/watch?v=iCifleyKJMg" TargetMode="External"/><Relationship Id="rId68" Type="http://schemas.openxmlformats.org/officeDocument/2006/relationships/hyperlink" Target="https://www.youtube.com/watch?v=wUDRIC5RSX4"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S43YhQ_eGTw" TargetMode="External"/><Relationship Id="rId53" Type="http://schemas.openxmlformats.org/officeDocument/2006/relationships/hyperlink" Target="https://www.youtube.com/watch?v=dyDWqLGbTKc" TargetMode="External"/><Relationship Id="rId58" Type="http://schemas.openxmlformats.org/officeDocument/2006/relationships/hyperlink" Target="https://www.youtube.com/watch?v=EfK-WX2pa8c" TargetMode="External"/><Relationship Id="rId74" Type="http://schemas.openxmlformats.org/officeDocument/2006/relationships/hyperlink" Target="https://www.youtube.com/watch?v=LiPS_WRgrAE" TargetMode="External"/><Relationship Id="rId79" Type="http://schemas.openxmlformats.org/officeDocument/2006/relationships/hyperlink" Target="https://www.youtube.com/watch?v=NDVneLzlaxE"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wBMDDQAR32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EhEuaSa4z_I" TargetMode="External"/><Relationship Id="rId48" Type="http://schemas.openxmlformats.org/officeDocument/2006/relationships/hyperlink" Target="https://www.youtube.com/watch?v=usNsCeOV4GM" TargetMode="External"/><Relationship Id="rId56" Type="http://schemas.openxmlformats.org/officeDocument/2006/relationships/hyperlink" Target="https://www.youtube.com/watch?v=x5QvbnwMOkA" TargetMode="External"/><Relationship Id="rId64" Type="http://schemas.openxmlformats.org/officeDocument/2006/relationships/hyperlink" Target="https://www.youtube.com/watch?v=mWB7ysFdtTI" TargetMode="External"/><Relationship Id="rId69" Type="http://schemas.openxmlformats.org/officeDocument/2006/relationships/hyperlink" Target="https://www.youtube.com/watch?v=yaPEkSRf6Vg" TargetMode="External"/><Relationship Id="rId77" Type="http://schemas.openxmlformats.org/officeDocument/2006/relationships/hyperlink" Target="https://www.youtube.com/watch?v=OdZHhRTmLHo"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3mbvWn1EY6g" TargetMode="External"/><Relationship Id="rId72" Type="http://schemas.openxmlformats.org/officeDocument/2006/relationships/hyperlink" Target="https://www.youtube.com/watch?v=QKyEdDFnhy0" TargetMode="External"/><Relationship Id="rId80" Type="http://schemas.openxmlformats.org/officeDocument/2006/relationships/hyperlink" Target="https://euvs-vintage-cocktail-books.cld.bz/"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X_F46iwWOwo" TargetMode="External"/><Relationship Id="rId46" Type="http://schemas.openxmlformats.org/officeDocument/2006/relationships/hyperlink" Target="https://www.youtube.com/watch?v=SpHQ2HwG7fA" TargetMode="External"/><Relationship Id="rId59" Type="http://schemas.openxmlformats.org/officeDocument/2006/relationships/hyperlink" Target="https://www.youtube.com/watch?v=haPblSaNn7o" TargetMode="External"/><Relationship Id="rId67" Type="http://schemas.openxmlformats.org/officeDocument/2006/relationships/hyperlink" Target="https://www.youtube.com/watch?v=96ijHXnxBw8"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v1Zl19Ccaec" TargetMode="External"/><Relationship Id="rId54" Type="http://schemas.openxmlformats.org/officeDocument/2006/relationships/hyperlink" Target="https://www.youtube.com/watch?v=lmQmM2wva5Q" TargetMode="External"/><Relationship Id="rId62" Type="http://schemas.openxmlformats.org/officeDocument/2006/relationships/hyperlink" Target="https://www.youtube.com/watch?v=exyPQqohghs" TargetMode="External"/><Relationship Id="rId70" Type="http://schemas.openxmlformats.org/officeDocument/2006/relationships/hyperlink" Target="https://www.youtube.com/watch?v=mYuGb4uPqVw" TargetMode="External"/><Relationship Id="rId75" Type="http://schemas.openxmlformats.org/officeDocument/2006/relationships/hyperlink" Target="https://www.youtube.com/watch?v=fVX_c54xA5U"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UviREczpKwE" TargetMode="External"/><Relationship Id="rId49" Type="http://schemas.openxmlformats.org/officeDocument/2006/relationships/hyperlink" Target="https://www.youtube.com/watch?v=vTB_oFcRxhg" TargetMode="External"/><Relationship Id="rId57" Type="http://schemas.openxmlformats.org/officeDocument/2006/relationships/hyperlink" Target="https://www.youtube.com/watch?v=Up4WjdabA2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IN2YEXbkatQ" TargetMode="External"/><Relationship Id="rId52" Type="http://schemas.openxmlformats.org/officeDocument/2006/relationships/hyperlink" Target="https://www.youtube.com/watch?v=22OZdZYeFe0" TargetMode="External"/><Relationship Id="rId60"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5" Type="http://schemas.openxmlformats.org/officeDocument/2006/relationships/hyperlink" Target="https://www.youtube.com/watch?v=i-QTZwajM9M" TargetMode="External"/><Relationship Id="rId73" Type="http://schemas.openxmlformats.org/officeDocument/2006/relationships/hyperlink" Target="https://www.youtube.com/watch?v=5n624chcEDo" TargetMode="External"/><Relationship Id="rId78" Type="http://schemas.openxmlformats.org/officeDocument/2006/relationships/hyperlink" Target="https://www.youtube.com/watch?v=MUUrW7xJSw4"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jfO92V_rgMQ"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22OZdZYeFe0" TargetMode="External"/><Relationship Id="rId55" Type="http://schemas.openxmlformats.org/officeDocument/2006/relationships/hyperlink" Target="https://www.youtube.com/watch?v=OnsMHB5WtRU" TargetMode="External"/><Relationship Id="rId76" Type="http://schemas.openxmlformats.org/officeDocument/2006/relationships/hyperlink" Target="https://www.youtube.com/watch?v=3BKR5TeR59k"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XpEs72fmc"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d0PioYGdLI4"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5XrSIDhuipQ" TargetMode="External"/><Relationship Id="rId45" Type="http://schemas.openxmlformats.org/officeDocument/2006/relationships/hyperlink" Target="https://www.youtube.com/watch?v=IXzo_5w34SI" TargetMode="External"/><Relationship Id="rId66" Type="http://schemas.openxmlformats.org/officeDocument/2006/relationships/hyperlink" Target="https://mixologo.net/wp-content/uploads/2020/01/1939-Floridita-Cock-tails.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08" activePane="bottomLeft" state="frozen"/>
      <selection pane="bottomLeft" activeCell="M108" sqref="M10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970</v>
      </c>
      <c r="H1" s="7" t="s">
        <v>316</v>
      </c>
      <c r="I1" s="7" t="s">
        <v>317</v>
      </c>
      <c r="J1" s="7" t="s">
        <v>766</v>
      </c>
      <c r="K1" s="7" t="s">
        <v>767</v>
      </c>
      <c r="L1" s="7" t="s">
        <v>971</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974</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4" t="s">
        <v>1048</v>
      </c>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975</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977</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4" t="s">
        <v>1047</v>
      </c>
    </row>
    <row r="16" spans="1:13" ht="60" x14ac:dyDescent="0.25">
      <c r="A16" s="1" t="str">
        <f>IF(receta!A16="","",receta!A16)</f>
        <v>Blanco de Verano</v>
      </c>
      <c r="B16" s="13"/>
      <c r="C16" s="1"/>
      <c r="D16" s="1"/>
      <c r="E16" s="1" t="s">
        <v>969</v>
      </c>
      <c r="F16" s="5" t="s">
        <v>968</v>
      </c>
      <c r="G16" s="4" t="s">
        <v>972</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978</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991</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980</v>
      </c>
    </row>
    <row r="26" spans="1:13" ht="409.5" x14ac:dyDescent="0.25">
      <c r="A26" s="1" t="str">
        <f>IF(receta!A26="","",receta!A26)</f>
        <v>Chuflay</v>
      </c>
      <c r="B26" s="1"/>
      <c r="C26" s="4" t="s">
        <v>492</v>
      </c>
      <c r="D26" s="4" t="s">
        <v>491</v>
      </c>
      <c r="E26" s="1"/>
      <c r="F26" s="1"/>
      <c r="G26" s="1"/>
      <c r="H26" s="4" t="s">
        <v>490</v>
      </c>
      <c r="I26" s="1" t="s">
        <v>489</v>
      </c>
      <c r="J26" s="1"/>
      <c r="K26" s="1"/>
      <c r="L26" s="1"/>
      <c r="M26" s="4" t="s">
        <v>997</v>
      </c>
    </row>
    <row r="27" spans="1:13" ht="375" x14ac:dyDescent="0.25">
      <c r="A27" s="1" t="str">
        <f>IF(receta!A27="","",receta!A27)</f>
        <v>Chupilca</v>
      </c>
      <c r="B27" s="4" t="s">
        <v>697</v>
      </c>
      <c r="C27" s="4" t="s">
        <v>681</v>
      </c>
      <c r="D27" s="4" t="s">
        <v>679</v>
      </c>
      <c r="E27" s="1"/>
      <c r="F27" s="1"/>
      <c r="G27" s="1"/>
      <c r="H27" s="1"/>
      <c r="I27" s="1"/>
      <c r="J27" s="1"/>
      <c r="K27" s="1"/>
      <c r="L27" s="1"/>
      <c r="M27" s="4" t="s">
        <v>981</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1007</v>
      </c>
      <c r="F31" s="5" t="s">
        <v>1004</v>
      </c>
      <c r="G31" s="4" t="s">
        <v>1005</v>
      </c>
      <c r="H31" s="1"/>
      <c r="I31" s="1"/>
      <c r="J31" s="1"/>
      <c r="K31" s="1"/>
      <c r="L31" s="1"/>
      <c r="M31" s="4" t="s">
        <v>982</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983</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994</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4" t="s">
        <v>1050</v>
      </c>
    </row>
    <row r="46" spans="1:13" ht="285" x14ac:dyDescent="0.25">
      <c r="A46" s="1" t="str">
        <f>IF(receta!A46="","",receta!A46)</f>
        <v>El Amor en los Tiempos del Covid</v>
      </c>
      <c r="B46" s="4" t="s">
        <v>744</v>
      </c>
      <c r="C46" s="4"/>
      <c r="D46" s="4" t="s">
        <v>992</v>
      </c>
      <c r="E46" s="4" t="s">
        <v>185</v>
      </c>
      <c r="F46" s="5" t="s">
        <v>184</v>
      </c>
      <c r="G46" s="5"/>
      <c r="H46" s="1"/>
      <c r="I46" s="1"/>
      <c r="J46" s="4" t="s">
        <v>1038</v>
      </c>
      <c r="K46" s="5" t="s">
        <v>1037</v>
      </c>
      <c r="L46" s="4" t="s">
        <v>1039</v>
      </c>
      <c r="M46" s="4" t="s">
        <v>991</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985</v>
      </c>
      <c r="H49" s="1"/>
      <c r="I49" s="1"/>
      <c r="J49" s="1"/>
      <c r="K49" s="1"/>
      <c r="L49" s="1"/>
      <c r="M49" s="4" t="s">
        <v>1009</v>
      </c>
    </row>
    <row r="50" spans="1:13" ht="255" x14ac:dyDescent="0.25">
      <c r="A50" s="1" t="str">
        <f>IF(receta!A50="","",receta!A50)</f>
        <v>Espiral</v>
      </c>
      <c r="B50" s="1"/>
      <c r="C50" s="4" t="s">
        <v>680</v>
      </c>
      <c r="D50" s="4"/>
      <c r="E50" s="4" t="s">
        <v>482</v>
      </c>
      <c r="F50" s="5" t="s">
        <v>483</v>
      </c>
      <c r="G50" s="4" t="s">
        <v>984</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1008</v>
      </c>
      <c r="H53" s="1" t="s">
        <v>385</v>
      </c>
      <c r="I53" s="1" t="s">
        <v>384</v>
      </c>
      <c r="J53" s="1"/>
      <c r="K53" s="1"/>
      <c r="L53" s="1"/>
      <c r="M53" s="4" t="s">
        <v>998</v>
      </c>
    </row>
    <row r="54" spans="1:13" ht="120" x14ac:dyDescent="0.25">
      <c r="A54" s="1" t="str">
        <f>IF(receta!A54="","",receta!A54)</f>
        <v>Faro</v>
      </c>
      <c r="B54" s="1"/>
      <c r="C54" s="4" t="s">
        <v>684</v>
      </c>
      <c r="D54" s="4"/>
      <c r="E54" s="1"/>
      <c r="F54" s="5"/>
      <c r="G54" s="4"/>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986</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4"/>
      <c r="I60" s="1"/>
      <c r="J60" s="1"/>
      <c r="K60" s="1"/>
      <c r="L60" s="1"/>
      <c r="M60" s="4" t="s">
        <v>987</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996</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973</v>
      </c>
      <c r="M63" s="4" t="s">
        <v>933</v>
      </c>
    </row>
    <row r="64" spans="1:13" ht="135" x14ac:dyDescent="0.25">
      <c r="A64" s="1" t="str">
        <f>IF(receta!A64="","",receta!A64)</f>
        <v>Ginger Fire</v>
      </c>
      <c r="B64" s="1"/>
      <c r="C64" s="4" t="s">
        <v>696</v>
      </c>
      <c r="D64" s="1"/>
      <c r="E64" s="1"/>
      <c r="F64" s="1"/>
      <c r="G64" s="1"/>
      <c r="H64" s="1"/>
      <c r="I64" s="1"/>
      <c r="J64" s="1"/>
      <c r="K64" s="1"/>
      <c r="L64" s="1"/>
      <c r="M64" s="4" t="s">
        <v>995</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1019</v>
      </c>
      <c r="D77" s="4" t="s">
        <v>1020</v>
      </c>
      <c r="E77" s="1"/>
      <c r="F77" s="1"/>
      <c r="G77" s="1"/>
      <c r="H77" s="1"/>
      <c r="I77" s="1"/>
      <c r="J77" s="1"/>
      <c r="K77" s="1"/>
      <c r="L77" s="1"/>
      <c r="M77" s="4" t="s">
        <v>1018</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989</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990</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80" x14ac:dyDescent="0.25">
      <c r="A93" s="1" t="str">
        <f>IF(receta!A93="","",receta!A93)</f>
        <v>Milano Torino</v>
      </c>
      <c r="B93" s="1"/>
      <c r="C93" s="4" t="s">
        <v>539</v>
      </c>
      <c r="D93" s="1"/>
      <c r="E93" s="1"/>
      <c r="F93" s="1"/>
      <c r="G93" s="1"/>
      <c r="H93" s="1"/>
      <c r="I93" s="1"/>
      <c r="J93" s="1"/>
      <c r="K93" s="1"/>
      <c r="L93" s="1"/>
      <c r="M93" s="4" t="s">
        <v>1052</v>
      </c>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1001</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999</v>
      </c>
      <c r="E97" s="1" t="s">
        <v>1003</v>
      </c>
      <c r="F97" s="5" t="s">
        <v>1002</v>
      </c>
      <c r="G97" s="1"/>
      <c r="H97" s="4"/>
      <c r="I97" s="1"/>
      <c r="J97" s="1"/>
      <c r="K97" s="1"/>
      <c r="L97" s="1"/>
      <c r="M97" s="4" t="s">
        <v>1000</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976</v>
      </c>
    </row>
    <row r="103" spans="1:13" ht="210" x14ac:dyDescent="0.25">
      <c r="A103" s="1" t="str">
        <f>IF(receta!A103="","",receta!A103)</f>
        <v>Negroni Sbagliato</v>
      </c>
      <c r="B103" s="1"/>
      <c r="C103" s="4" t="s">
        <v>595</v>
      </c>
      <c r="D103" s="1"/>
      <c r="E103" s="1"/>
      <c r="F103" s="1"/>
      <c r="G103" s="1"/>
      <c r="H103" s="1"/>
      <c r="I103" s="1"/>
      <c r="J103" s="1"/>
      <c r="K103" s="1"/>
      <c r="L103" s="1"/>
      <c r="M103" s="4" t="s">
        <v>1046</v>
      </c>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1013</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375" x14ac:dyDescent="0.25">
      <c r="A106" s="1" t="str">
        <f>IF(receta!A106="","",receta!A106)</f>
        <v>Old Fashioned</v>
      </c>
      <c r="B106" s="4" t="s">
        <v>645</v>
      </c>
      <c r="C106" s="4"/>
      <c r="D106" s="4" t="s">
        <v>566</v>
      </c>
      <c r="E106" s="1" t="s">
        <v>1044</v>
      </c>
      <c r="F106" s="5" t="s">
        <v>1045</v>
      </c>
      <c r="G106" s="4" t="s">
        <v>1043</v>
      </c>
      <c r="H106" s="4" t="s">
        <v>1055</v>
      </c>
      <c r="I106" s="5" t="s">
        <v>1054</v>
      </c>
      <c r="J106" s="1"/>
      <c r="K106" s="1"/>
      <c r="L106" s="1"/>
      <c r="M106" s="4" t="s">
        <v>1056</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1057</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1011</v>
      </c>
      <c r="E110" s="4" t="s">
        <v>586</v>
      </c>
      <c r="F110" s="5" t="s">
        <v>546</v>
      </c>
      <c r="G110" s="5"/>
      <c r="H110" s="1"/>
      <c r="I110" s="1"/>
      <c r="J110" s="4"/>
      <c r="K110" s="5"/>
      <c r="L110" s="5"/>
      <c r="M110" s="4" t="s">
        <v>1012</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1017</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1015</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1014</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ht="165" x14ac:dyDescent="0.25">
      <c r="A132" s="1" t="str">
        <f>IF(receta!A132="","",receta!A132)</f>
        <v>Síndrome Impostor</v>
      </c>
      <c r="B132" s="1"/>
      <c r="C132" s="1" t="s">
        <v>372</v>
      </c>
      <c r="D132" s="1"/>
      <c r="E132" s="1" t="s">
        <v>164</v>
      </c>
      <c r="F132" s="5" t="s">
        <v>163</v>
      </c>
      <c r="G132" s="5"/>
      <c r="H132" s="1"/>
      <c r="I132" s="1"/>
      <c r="J132" s="1"/>
      <c r="K132" s="5"/>
      <c r="L132" s="5"/>
      <c r="M132" s="4" t="s">
        <v>1051</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t="s">
        <v>1041</v>
      </c>
      <c r="F137" s="5" t="s">
        <v>1040</v>
      </c>
      <c r="G137" s="4" t="s">
        <v>1042</v>
      </c>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1027</v>
      </c>
      <c r="F140" s="5" t="s">
        <v>1026</v>
      </c>
      <c r="G140" s="4" t="s">
        <v>1028</v>
      </c>
      <c r="H140" s="1"/>
      <c r="I140" s="1"/>
      <c r="J140" s="1" t="s">
        <v>420</v>
      </c>
      <c r="K140" s="5" t="s">
        <v>419</v>
      </c>
      <c r="L140" s="5"/>
      <c r="M140" s="4" t="s">
        <v>1016</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t="s">
        <v>1032</v>
      </c>
      <c r="I144" s="5" t="s">
        <v>1033</v>
      </c>
      <c r="J144" s="1" t="s">
        <v>1030</v>
      </c>
      <c r="K144" s="5" t="s">
        <v>1031</v>
      </c>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4" t="s">
        <v>1053</v>
      </c>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1021</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988</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1025</v>
      </c>
      <c r="E160" s="1" t="s">
        <v>1023</v>
      </c>
      <c r="F160" s="5" t="s">
        <v>1024</v>
      </c>
      <c r="G160" s="4" t="s">
        <v>1022</v>
      </c>
      <c r="H160" s="1"/>
      <c r="I160" s="5"/>
      <c r="J160" s="1"/>
      <c r="K160" s="1"/>
      <c r="L160" s="1"/>
      <c r="M160" s="4" t="s">
        <v>1029</v>
      </c>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979</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4" t="s">
        <v>1034</v>
      </c>
      <c r="F165" s="5" t="s">
        <v>1035</v>
      </c>
      <c r="G165" s="1" t="s">
        <v>1036</v>
      </c>
      <c r="H165" s="1"/>
      <c r="I165" s="5"/>
      <c r="J165" s="1"/>
      <c r="K165" s="1"/>
      <c r="L165" s="1"/>
      <c r="M165" s="4" t="s">
        <v>993</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4" t="s">
        <v>1049</v>
      </c>
    </row>
    <row r="168" spans="1:13" ht="180" x14ac:dyDescent="0.25">
      <c r="A168" s="1" t="str">
        <f>IF(receta!A168="","",receta!A168)</f>
        <v>Old Pal</v>
      </c>
      <c r="B168" s="1"/>
      <c r="C168" s="4" t="s">
        <v>1006</v>
      </c>
      <c r="D168" s="4"/>
      <c r="E168" s="1"/>
      <c r="F168" s="1"/>
      <c r="G168" s="1"/>
      <c r="H168" s="1"/>
      <c r="I168" s="5"/>
      <c r="J168" s="1"/>
      <c r="K168" s="1"/>
      <c r="L168" s="1"/>
      <c r="M168" s="4" t="s">
        <v>1010</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71" r:id="rId36" xr:uid="{A0310311-45B1-42AB-B4D5-454C1A2F857A}"/>
    <hyperlink ref="F104" r:id="rId37" xr:uid="{5F1FE064-20CD-4CD0-BFCD-2A29DCE05378}"/>
    <hyperlink ref="F50" r:id="rId38" xr:uid="{B9029BDE-2CF2-4C7F-8412-0C40AE11F68F}"/>
    <hyperlink ref="F112" r:id="rId39" xr:uid="{9D0D4CC8-CC22-44E2-B264-DD6DC0AAB856}"/>
    <hyperlink ref="F118" r:id="rId40" xr:uid="{D0F5E38C-8D61-4A45-9420-0674EA07BF30}"/>
    <hyperlink ref="F38" r:id="rId41" xr:uid="{262EA65B-7E4E-40E7-83C0-33F10D141492}"/>
    <hyperlink ref="I108" r:id="rId42" xr:uid="{D354F0C5-47C3-4AC8-89C3-72A923D81147}"/>
    <hyperlink ref="F143" r:id="rId43" xr:uid="{F8159653-E06F-48AC-B06F-F96FF8FAC6FB}"/>
    <hyperlink ref="F22" r:id="rId44" xr:uid="{D5C24302-111F-4DD4-B671-45B434C1F272}"/>
    <hyperlink ref="F37" r:id="rId45" xr:uid="{BC8299D9-94A5-4297-8A97-2305D757D1DF}"/>
    <hyperlink ref="F110" r:id="rId46" xr:uid="{D9F12F69-7825-432C-8F17-8179F5ACB838}"/>
    <hyperlink ref="F90" r:id="rId47" xr:uid="{05CA1CBC-8ECD-4A48-9B49-7B0A090F5B0A}"/>
    <hyperlink ref="F48" r:id="rId48" xr:uid="{5B202746-9CD3-4DEA-86F6-B02FBFECC9BD}"/>
    <hyperlink ref="F141" r:id="rId49" xr:uid="{75E0E620-EEE7-456F-8B1D-E144584094F6}"/>
    <hyperlink ref="F91" r:id="rId50" xr:uid="{FAD199C6-5901-4269-B73C-7936FE7D51A0}"/>
    <hyperlink ref="F148" r:id="rId51" xr:uid="{A5AAC270-3690-4B95-8FC8-A8FD0A109532}"/>
    <hyperlink ref="F32" r:id="rId52" xr:uid="{04E04D75-704C-4FE6-A3DA-E28677DD7E74}"/>
    <hyperlink ref="F147" r:id="rId53" xr:uid="{DEED7687-3797-41E5-8622-295B72CFDA25}"/>
    <hyperlink ref="I74" r:id="rId54" xr:uid="{92BCF14D-68BF-4577-A968-400B7094B7EC}"/>
    <hyperlink ref="F49" r:id="rId55" xr:uid="{2147548B-F6F7-4EB8-9101-1DF8578426C8}"/>
    <hyperlink ref="K154" r:id="rId56" xr:uid="{159A8B66-145C-4FBD-93E9-54444710C298}"/>
    <hyperlink ref="F78" r:id="rId57" xr:uid="{160BFB4E-F52C-4586-9551-1CC63AFC8DC9}"/>
    <hyperlink ref="K78" r:id="rId58" xr:uid="{9CF2EC77-5892-4BF7-8320-49B85E7226D1}"/>
    <hyperlink ref="F156" r:id="rId59" xr:uid="{E88376AE-94E5-45C8-B9C6-C745DAA369F1}"/>
    <hyperlink ref="M158" r:id="rId60"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1" xr:uid="{5E921682-2244-4A8F-895D-0E726F507E4B}"/>
    <hyperlink ref="F162" r:id="rId62" xr:uid="{EF657F86-A49C-4DF5-9318-9BE891FDC415}"/>
    <hyperlink ref="F163" r:id="rId63" xr:uid="{8B571519-9B2E-4DBD-AB73-A1220F412D75}"/>
    <hyperlink ref="F125" r:id="rId64" xr:uid="{B8E5BCD6-A355-47CC-A5DA-2F0E1F25AE0F}"/>
    <hyperlink ref="F61" r:id="rId65" xr:uid="{24079934-3DB4-47C7-A4F6-EB34761E8517}"/>
    <hyperlink ref="I40" r:id="rId66" xr:uid="{18514F5E-18F5-44D8-BD76-F70D6B1E8FC6}"/>
    <hyperlink ref="I135" r:id="rId67" xr:uid="{6B3689A7-4101-496D-821F-20A52B38FF72}"/>
    <hyperlink ref="F16" r:id="rId68" xr:uid="{816C87E7-4A29-4F45-8BD1-D79076FE292E}"/>
    <hyperlink ref="F97" r:id="rId69" xr:uid="{B4B59D4D-272B-4AEE-820B-4D18D5925638}"/>
    <hyperlink ref="F31" r:id="rId70" xr:uid="{295A8609-0926-4F9B-85D6-EFECD8ABD350}"/>
    <hyperlink ref="F160" r:id="rId71" xr:uid="{4AF06AA3-B56D-4EF1-A3DA-0A54500AAB46}"/>
    <hyperlink ref="K140" r:id="rId72" xr:uid="{2AAF686C-BD90-49C7-BF1A-AD5D0EEB2ADE}"/>
    <hyperlink ref="F140" r:id="rId73" xr:uid="{40736A97-19E9-43FF-9714-87C9BEC14957}"/>
    <hyperlink ref="K144" r:id="rId74" xr:uid="{53B80412-D30A-4E61-B7C0-84FAEE3C9B8F}"/>
    <hyperlink ref="I144" r:id="rId75" xr:uid="{51307B8A-9D3C-440A-95F6-7FAB063FC58B}"/>
    <hyperlink ref="F165" r:id="rId76" xr:uid="{31D85646-B6D0-4064-847B-6A91577D6D6C}"/>
    <hyperlink ref="K46" r:id="rId77" xr:uid="{BD04903A-05E0-4F1C-B9C8-226D01E9B9F0}"/>
    <hyperlink ref="F137" r:id="rId78" xr:uid="{5F4B6BA8-9C2D-4FA6-9E30-3405A5456BC9}"/>
    <hyperlink ref="F106" r:id="rId79" xr:uid="{ABCFAB17-7667-4D61-879E-A320868B2202}"/>
    <hyperlink ref="I106" r:id="rId80" xr:uid="{4BF12877-B808-4EA1-A6A9-B6AAB5F55B13}"/>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2026-02-10T15:34:46Z</dcterms:modified>
</cp:coreProperties>
</file>