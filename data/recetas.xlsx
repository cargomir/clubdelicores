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9C1EEAF2-8147-4F48-932E-4C0F40C50471}"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<sst xmlns="http://schemas.openxmlformats.org/spreadsheetml/2006/main" count="1491" uniqueCount="947">
  <si>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</si>
  <si>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</si>
  <si>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</si>
  <si>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</si>
  <si>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</si>
  <si>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</si>
  <si>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</si>
  <si>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</si>
  <si>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</si>
  <si>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</si>
  <si>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</si>
  <si>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</si>
  <si>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</si>
  <si>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</si>
  <si>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</si>
  <si>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</si>
  <si>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</si>
  <si>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</si>
  <si>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</si>
  <si>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</si>
  <si>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</si>
  <si>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</si>
  <si>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</si>
  <si>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</si>
  <si>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</si>
  <si>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</si>
  <si>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</si>
  <si>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</si>
  <si>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</si>
  <si>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</si>
  <si>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</si>
  <si>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</si>
  <si>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</si>
  <si>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</si>
  <si>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</si>
  <si>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</si>
  <si>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</si>
  <si>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</si>
  <si>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</si>
  <si>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</si>
  <si>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</si>
  <si>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</si>
  <si>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</si>
  <si>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</si>
  <si>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</si>
  <si>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</si>
  <si>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</si>
  <si>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</si>
  <si>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</si>
  <si>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</si>
  <si>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</si>
  <si>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</si>
  <si>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</si>
  <si>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</si>
  <si>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</si>
  <si>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</si>
  <si>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</si>
  <si>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</si>
  <si>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</si>
  <si>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</si>
  <si>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</si>
  <si>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</si>
  <si>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</si>
  <si>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</si>
  <si>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</si>
  <si>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</si>
  <si>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</si>
  <si>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</si>
  <si>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</si>
  <si>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</si>
  <si>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</si>
  <si>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</si>
  <si>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</si>
  <si>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</si>
  <si>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</si>
  <si>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</si>
  <si>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</si>
  <si>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</si>
  <si>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</si>
  <si>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</si>
  <si>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</si>
  <si>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</si>
  <si>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</si>
  <si>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</si>
  <si>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</si>
  <si>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</si>
  <si>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</si>
  <si>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</si>
  <si>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</si>
  <si>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</si>
  <si>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</si>
  <si>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</si>
  <si>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</si>
  <si>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</si>
  <si>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</si>
  <si>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</si>
  <si>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</si>
  <si>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</si>
  <si>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</si>
  <si>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</si>
  <si>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</si>
  <si>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</si>
  <si>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</si>
  <si>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</si>
  <si>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</si>
  <si>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</si>
  <si>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</si>
  <si>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</si>
  <si>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</si>
  <si>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</si>
  <si>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</si>
  <si>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</si>
  <si>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</si>
  <si>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</si>
  <si>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</si>
  <si>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</si>
  <si>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</si>
  <si>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</si>
  <si>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</si>
  <si>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</si>
  <si>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</si>
  <si>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</si>
  <si>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</si>
  <si>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</si>
  <si>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</si>
  <si>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</si>
  <si>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</si>
  <si>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</si>
  <si>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</si>
  <si>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</si>
  <si>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</si>
  <si>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</si>
  <si>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</si>
  <si>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</si>
  <si>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</si>
  <si>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</si>
  <si>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</si>
  <si>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</si>
  <si>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</si>
  <si>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</si>
  <si>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</si>
  <si>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</si>
  <si>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</si>
  <si>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</si>
  <si>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</si>
  <si>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</si>
  <si>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</si>
  <si>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</si>
  <si>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</si>
  <si>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</si>
  <si>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</si>
  <si>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</si>
  <si>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</si>
  <si>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</si>
  <si>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</si>
  <si>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</si>
  <si>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</si>
  <si>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</si>
  <si>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</si>
  <si>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</si>
  <si>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</si>
  <si>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</si>
  <si>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</si>
  <si>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</si>
  <si>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</si>
  <si>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</si>
  <si>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</si>
  <si>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</si>
  <si>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</si>
  <si>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</si>
  <si>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</si>
  <si>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</si>
  <si>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</si>
  <si>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</si>
  <si>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</si>
  <si>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</si>
  <si>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</si>
  <si>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</si>
  <si>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</si>
  <si>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</si>
  <si>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</si>
  <si>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</si>
  <si>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</si>
  <si>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</si>
  <si>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</si>
  <si>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</si>
  <si>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</si>
  <si>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</si>
  <si>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</si>
  <si>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</si>
  <si>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</si>
  <si>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</si>
  <si>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</si>
  <si>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</si>
  <si>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</si>
  <si>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</si>
  <si>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</si>
  <si>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</si>
  <si>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</si>
  <si>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</si>
  <si>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</si>
  <si>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</si>
  <si>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</si>
  <si>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</si>
  <si>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</si>
  <si>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</si>
  <si>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</si>
  <si>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</si>
  <si>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</si>
  <si>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</si>
  <si>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</si>
  <si>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</si>
  <si>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</si>
  <si>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</si>
  <si>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</si>
  <si>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</si>
  <si>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</si>
  <si>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</si>
  <si>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</si>
  <si>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</si>
  <si>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</si>
  <si>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</si>
  <si>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</si>
  <si>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</si>
  <si>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</si>
  <si>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</si>
  <si>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</si>
  <si>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</si>
  <si>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</si>
  <si>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</si>
  <si>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</si>
  <si>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</si>
  <si>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</si>
  <si>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</si>
  <si>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</si>
  <si>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</si>
  <si>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</si>
  <si>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</si>
  <si>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</si>
  <si>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</si>
  <si>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</si>
  <si>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</si>
  <si>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</si>
  <si>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</si>
  <si>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</si>
  <si>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</si>
  <si>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</si>
  <si>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</si>
  <si>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</si>
  <si>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</si>
  <si>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</si>
  <si>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</si>
  <si>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</si>
  <si>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</si>
  <si>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</si>
  <si>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</si>
  <si>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</si>
  <si>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</si>
  <si>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</si>
  <si>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</si>
  <si>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</si>
  <si>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</si>
  <si>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</si>
  <si>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</si>
  <si>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</si>
  <si>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</si>
  <si>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</si>
  <si>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</si>
  <si>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</si>
  <si>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</si>
  <si>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</si>
  <si>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</si>
  <si>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</si>
  <si>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</si>
  <si>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</si>
  <si>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</si>
  <si>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</si>
  <si>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</si>
  <si>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</si>
  <si>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</si>
  <si>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</si>
  <si>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</si>
  <si>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</si>
  <si>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</si>
  <si>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</si>
  <si>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</si>
  <si>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</si>
  <si>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</si>
  <si>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</si>
  <si>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</si>
  <si>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</si>
  <si>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</si>
  <si>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</si>
  <si>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</si>
  <si>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</si>
  <si>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</si>
  <si>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</si>
  <si>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</si>
  <si>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</si>
  <si>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</si>
  <si>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</si>
  <si>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</si>
  <si>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</si>
  <si>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</si>
  <si>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</si>
  <si>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</si>
  <si>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</si>
  <si>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</si>
  <si>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</si>
  <si>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</si>
  <si>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</si>
  <si>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</si>
  <si>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</si>
  <si>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</si>
  <si>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</si>
  <si>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</si>
  <si>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</si>
  <si>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</si>
  <si>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</si>
  <si>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</si>
  <si>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</si>
  <si>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</si>
  <si>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</si>
  <si>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</si>
  <si>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</si>
  <si>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</si>
  <si>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</si>
  <si>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</si>
  <si>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</si>
  <si>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</si>
  <si>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</si>
  <si>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</si>
  <si>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</si>
  <si>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</si>
  <si>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</si>
  <si>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</si>
  <si>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</si>
  <si>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</si>
  <si>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</si>
  <si>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</si>
  <si>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</si>
  <si>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</si>
  <si>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</si>
  <si>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</si>
  <si>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</si>
  <si>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</si>
  <si>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</si>
  <si>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</si>
  <si>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</si>
  <si>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</si>
  <si>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</si>
  <si>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</si>
  <si>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</si>
  <si>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</si>
  <si>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</si>
  <si>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</si>
  <si>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</si>
  <si>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</si>
  <si>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</si>
  <si>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</si>
  <si>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</si>
  <si>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</si>
  <si>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</si>
  <si>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</si>
  <si>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</si>
  <si>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</si>
  <si>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</si>
  <si>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</si>
  <si>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</si>
  <si>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</si>
  <si>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</si>
  <si>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</si>
  <si>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</si>
  <si>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</si>
  <si>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</si>
  <si>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</si>
  <si>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</si>
  <si>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</si>
  <si>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</si>
  <si>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</si>
  <si>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</si>
  <si>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</si>
  <si>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</si>
  <si>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</si>
  <si>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</si>
  <si>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</si>
  <si>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</si>
  <si>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</si>
  <si>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</si>
  <si>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</si>
  <si>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</si>
  <si>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</si>
  <si>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</si>
  <si>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</si>
  <si>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</si>
  <si>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</si>
  <si>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</si>
  <si>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</si>
  <si>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</si>
  <si>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</si>
  <si>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</si>
  <si>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</si>
  <si>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</si>
  <si>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</si>
  <si>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</si>
  <si>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</si>
  <si>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</si>
  <si>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</si>
  <si>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</si>
  <si>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</si>
  <si>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</si>
  <si>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</si>
  <si>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</si>
  <si>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</si>
  <si>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</si>
  <si>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</si>
  <si>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</si>
  <si>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</si>
  <si>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</si>
  <si>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</si>
  <si>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</si>
  <si>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</si>
  <si>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</si>
  <si>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</si>
  <si>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</si>
  <si>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</si>
  <si>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</si>
  <si>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</si>
  <si>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</si>
  <si>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</si>
  <si>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</si>
  <si>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</si>
  <si>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</si>
  <si>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</si>
  <si>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</si>
  <si>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</si>
  <si>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</si>
  <si>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</si>
  <si>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</si>
  <si>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</si>
  <si>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</si>
  <si>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</si>
  <si>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</si>
  <si>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</si>
  <si>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</si>
  <si>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</si>
  <si>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</si>
  <si>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</si>
  <si>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</si>
  <si>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</si>
  <si>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</si>
  <si>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</si>
  <si>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</si>
  <si>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</si>
  <si>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</si>
  <si>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</si>
  <si>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</si>
  <si>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</si>
  <si>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</si>
  <si>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</si>
  <si>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</si>
  <si>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</si>
  <si>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</si>
  <si>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</si>
  <si>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</si>
  <si>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</si>
  <si>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</si>
  <si>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</si>
  <si>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</si>
  <si>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</si>
  <si>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</si>
  <si>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</si>
  <si>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</si>
  <si>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</si>
  <si>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</si>
  <si>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</si>
  <si>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</si>
  <si>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</si>
  <si>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</si>
  <si>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</si>
  <si>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</si>
  <si>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</si>
  <si>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</si>
  <si>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</si>
  <si>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</si>
  <si>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</si>
  <si>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</si>
  <si>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</si>
  <si>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</si>
  <si>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</si>
  <si>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</si>
  <si>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</si>
  <si>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</si>
  <si>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</si>
  <si>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</si>
  <si>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</si>
  <si>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</si>
  <si>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</si>
  <si>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</si>
  <si>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</si>
  <si>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</si>
  <si>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</si>
  <si>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</si>
  <si>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</si>
  <si>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</si>
  <si>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</si>
  <si>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</si>
  <si>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</si>
  <si>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</si>
  <si>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</si>
  <si>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</si>
  <si>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</si>
  <si>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</si>
  <si>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</si>
  <si>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</si>
  <si>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</si>
  <si>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</si>
  <si>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</si>
  <si>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</si>
  <si>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</si>
  <si>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</si>
  <si>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</si>
  <si>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</si>
  <si>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</si>
  <si>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</si>
  <si>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</si>
  <si>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</si>
  <si>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</si>
  <si>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</si>
  <si>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</si>
  <si>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</si>
  <si>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</si>
  <si>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</si>
  <si>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</si>
  <si>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</si>
  <si>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</si>
  <si>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</si>
  <si>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</si>
  <si>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</si>
  <si>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</si>
  <si>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</si>
  <si>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</si>
  <si>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</si>
  <si>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</si>
  <si>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</si>
  <si>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</si>
  <si>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</si>
  <si>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</si>
  <si>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</si>
  <si>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</si>
  <si>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</si>
  <si>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</si>
  <si>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</si>
  <si>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</si>
  <si>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</si>
  <si>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</si>
  <si>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</si>
  <si>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</si>
  <si>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</si>
  <si>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</si>
  <si>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</si>
  <si>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</si>
  <si>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</si>
  <si>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</si>
  <si>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</si>
  <si>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</si>
  <si>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</si>
  <si>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</si>
  <si>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</si>
  <si>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</si>
  <si>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</si>
  <si>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</si>
  <si>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</si>
  <si>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</si>
  <si>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</si>
  <si>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</si>
  <si>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</si>
  <si>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</si>
  <si>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</si>
  <si>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</si>
  <si>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</si>
  <si>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</si>
  <si>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</si>
  <si>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</si>
  <si>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</si>
  <si>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</si>
  <si>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</si>
  <si>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</si>
  <si>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</si>
  <si>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</si>
  <si>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</si>
  <si>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</si>
  <si>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</si>
  <si>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</si>
  <si>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</si>
  <si>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</si>
  <si>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</si>
  <si>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</si>
  <si>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</si>
  <si>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</si>
  <si>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</si>
  <si>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</si>
  <si>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</si>
  <si>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</si>
  <si>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</si>
  <si>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</si>
  <si>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</si>
  <si>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</si>
  <si>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</si>
  <si>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</si>
  <si>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</si>
  <si>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</si>
  <si>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</si>
  <si>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</si>
  <si>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</si>
  <si>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</si>
  <si>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</si>
  <si>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</si>
  <si>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</si>
  <si>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</si>
  <si>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</si>
  <si>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</si>
  <si>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</si>
  <si>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</si>
  <si>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</si>
  <si>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</si>
  <si>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</si>
  <si>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</si>
  <si>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</si>
  <si>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</si>
  <si>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</si>
  <si>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</si>
  <si>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</si>
  <si>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</si>
  <si>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</si>
  <si>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</si>
  <si>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</si>
  <si>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</si>
  <si>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</si>
  <si>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</si>
  <si>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</si>
  <si>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</si>
  <si>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</si>
  <si>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</si>
  <si>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</si>
  <si>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</si>
  <si>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</si>
  <si>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</si>
  <si>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</si>
  <si>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</si>
  <si>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</si>
  <si>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</si>
  <si>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</si>
  <si>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</si>
  <si>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</si>
  <si>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</si>
  <si>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</si>
  <si>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</si>
  <si>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</si>
  <si>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</si>
  <si>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</si>
  <si>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</si>
  <si>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</si>
  <si>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</si>
  <si>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</si>
  <si>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</si>
  <si>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</si>
  <si>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</si>
  <si>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</si>
  <si>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</si>
  <si>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</si>
  <si>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</si>
  <si>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</si>
  <si>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</si>
  <si>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</si>
  <si>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</si>
  <si>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</si>
  <si>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</si>
  <si>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</si>
  <si>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</si>
  <si>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</si>
  <si>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</si>
  <si>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</si>
  <si>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</si>
  <si>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</si>
  <si>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</si>
  <si>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</si>
  <si>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</si>
  <si>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</si>
  <si>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</si>
  <si>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</si>
  <si>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</si>
  <si>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</si>
  <si>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</si>
  <si>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</si>
  <si>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</si>
  <si>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</si>
  <si>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</si>
  <si>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</si>
  <si>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</si>
  <si>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</si>
  <si>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</si>
  <si>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</si>
  <si>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</si>
  <si>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</si>
  <si>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</si>
  <si>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</si>
  <si>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</si>
  <si>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</si>
  <si>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</si>
  <si>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</si>
  <si>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</si>
  <si>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</si>
  <si>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</si>
  <si>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</si>
  <si>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</si>
  <si>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</si>
  <si>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</si>
  <si>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</si>
  <si>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</si>
  <si>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</si>
  <si>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</si>
  <si>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</si>
  <si>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</si>
  <si>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</si>
  <si>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</si>
  <si>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</si>
  <si>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</si>
  <si>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</si>
  <si>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</si>
  <si>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</si>
  <si>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</si>
  <si>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</si>
  <si>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</si>
  <si>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</si>
  <si>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</si>
  <si>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</si>
  <si>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</si>
  <si>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</si>
  <si>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</si>
  <si>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</si>
  <si>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</si>
  <si>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</si>
  <si>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</si>
  <si>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</si>
  <si>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</si>
  <si>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</si>
  <si>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</si>
  <si>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</si>
  <si>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</si>
  <si>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</si>
  <si>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</si>
  <si>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</si>
  <si>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</si>
  <si>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</si>
  <si>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</si>
  <si>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</si>
  <si>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</si>
  <si>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</si>
  <si>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</si>
  <si>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</si>
  <si>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</si>
  <si>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</si>
  <si>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</si>
  <si>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</si>
  <si>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</si>
  <si>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</si>
  <si>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</si>
  <si>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</si>
  <si>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</si>
  <si>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</si>
  <si>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</si>
  <si>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</si>
  <si>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</si>
  <si>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</si>
  <si>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</si>
  <si>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</si>
  <si>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</si>
  <si>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</si>
  <si>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</si>
  <si>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</si>
  <si>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</si>
  <si>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</si>
  <si>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</si>
  <si>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</si>
  <si>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</si>
  <si>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</si>
  <si>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</si>
  <si>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</si>
  <si>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</si>
  <si>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</si>
  <si>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</si>
  <si>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</si>
  <si>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</si>
  <si>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</si>
  <si>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</si>
  <si>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</si>
  <si>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</si>
  <si>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</si>
  <si>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</si>
  <si>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</si>
  <si>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</si>
  <si>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</si>
  <si>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</si>
  <si>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</si>
  <si>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</si>
  <si>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</si>
  <si>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</si>
  <si>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</si>
  <si>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</si>
  <si>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</si>
  <si>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</si>
  <si>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</si>
  <si>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</si>
  <si>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</si>
  <si>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</si>
  <si>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</si>
  <si>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</si>
  <si>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</si>
  <si>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</si>
  <si>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</si>
  <si>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</si>
  <si>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</si>
  <si>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</si>
  <si>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</si>
  <si>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</si>
  <si>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</si>
  <si>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</si>
  <si>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</si>
  <si>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</si>
  <si>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</si>
  <si>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</si>
  <si>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</si>
  <si>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</si>
  <si>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</si>
  <si>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</si>
  <si>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</si>
  <si>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</si>
  <si>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</si>
  <si>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</si>
  <si>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</si>
  <si>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</si>
  <si>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</si>
  <si>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</si>
  <si>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</si>
  <si>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</si>
  <si>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</si>
  <si>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</si>
  <si>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</si>
  <si>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</si>
  <si>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</si>
  <si>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</si>
  <si>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</si>
  <si>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</si>
  <si>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</si>
  <si>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</si>
  <si>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</si>
  <si>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</si>
  <si>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</si>
  <si>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</si>
  <si>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</si>
  <si>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</si>
  <si>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</si>
  <si>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</si>
  <si>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</si>
  <si>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</si>
  <si>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</si>
  <si>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</si>
  <si>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</si>
  <si>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</si>
  <si>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</si>
  <si>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</si>
  <si>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</si>
  <si>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</si>
  <si>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</si>
  <si>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</si>
  <si>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</si>
  <si>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</si>
  <si>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</si>
  <si>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</si>
  <si>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</si>
  <si>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</si>
  <si>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</si>
  <si>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</si>
  <si>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</si>
  <si>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</si>
  <si>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</si>
  <si>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</si>
  <si>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</si>
  <si>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</si>
  <si>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</si>
  <si>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</si>
  <si>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</si>
  <si>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</si>
  <si>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</si>
  <si>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</si>
  <si>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</si>
  <si>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</si>
  <si>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</si>
  <si>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</si>
  <si>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</si>
  <si>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</si>
  <si>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</si>
  <si>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</si>
  <si>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</si>
  <si>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</si>
  <si>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</si>
  <si>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</si>
  <si>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</si>
  <si>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</si>
  <si>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</si>
  <si>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</si>
  <si>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</si>
  <si>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</si>
  <si>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</si>
  <si>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</si>
  <si>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</si>
  <si>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</si>
  <si>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</si>
  <si>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</si>
  <si>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</si>
  <si>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</si>
  <si>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</si>
  <si>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</si>
  <si>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</si>
  <si>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</si>
  <si>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</si>
  <si>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</si>
  <si>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</si>
  <si>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</si>
  <si>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</si>
  <si>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</si>
  <si>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</si>
  <si>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</si>
  <si>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</si>
  <si>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</si>
  <si>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Portada del libro Floridita Cocktails, 1939.</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</si>
  <si>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</si>
  <si>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</si>
  <si>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</si>
  <si>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</si>
  <si>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schweppes-ginger-ale.jpg
Anuncio vintage de Schweppes, que data de finales del siglo XIX o principios del XX, con un estilo Art Nouveau.</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</si>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</sst>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68" Type="http://schemas.openxmlformats.org/officeDocument/2006/relationships/printerSettings" Target="../printerSettings/printerSettings2.bin"/><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895</v>
      </c>
      <c r="P1" s="27" t="s">
        <v>697</v>
      </c>
      <c r="Q1" s="27" t="s">
        <v>79</v>
      </c>
      <c r="R1" s="27" t="s">
        <v>229</v>
      </c>
      <c r="S1" s="27" t="s">
        <v>265</v>
      </c>
      <c r="T1" s="27" t="s">
        <v>570</v>
      </c>
      <c r="U1" s="27" t="s">
        <v>873</v>
      </c>
      <c r="V1" s="27" t="s">
        <v>623</v>
      </c>
      <c r="W1" s="27" t="s">
        <v>80</v>
      </c>
      <c r="X1" s="27" t="s">
        <v>81</v>
      </c>
      <c r="Y1" s="27" t="s">
        <v>195</v>
      </c>
      <c r="Z1" s="27" t="s">
        <v>196</v>
      </c>
      <c r="AA1" s="27" t="s">
        <v>831</v>
      </c>
      <c r="AB1" s="27" t="s">
        <v>830</v>
      </c>
      <c r="AC1" s="27" t="s">
        <v>908</v>
      </c>
      <c r="AD1" s="27" t="s">
        <v>909</v>
      </c>
      <c r="AE1" s="27" t="s">
        <v>82</v>
      </c>
      <c r="AF1" s="27" t="s">
        <v>83</v>
      </c>
      <c r="AG1" s="27" t="s">
        <v>249</v>
      </c>
      <c r="AH1" s="27" t="s">
        <v>84</v>
      </c>
      <c r="AI1" s="27" t="s">
        <v>85</v>
      </c>
      <c r="AJ1" s="27" t="s">
        <v>233</v>
      </c>
      <c r="AK1" s="27" t="s">
        <v>86</v>
      </c>
      <c r="AL1" s="27" t="s">
        <v>87</v>
      </c>
      <c r="AM1" s="27" t="s">
        <v>554</v>
      </c>
      <c r="AN1" s="27" t="s">
        <v>223</v>
      </c>
      <c r="AO1" s="27" t="s">
        <v>88</v>
      </c>
      <c r="AP1" s="27" t="s">
        <v>263</v>
      </c>
      <c r="AQ1" s="27" t="s">
        <v>90</v>
      </c>
      <c r="AR1" s="27" t="s">
        <v>91</v>
      </c>
      <c r="AS1" s="27" t="s">
        <v>92</v>
      </c>
      <c r="AT1" s="27" t="s">
        <v>153</v>
      </c>
      <c r="AU1" s="27" t="s">
        <v>200</v>
      </c>
      <c r="AV1" s="27" t="s">
        <v>862</v>
      </c>
      <c r="AW1" s="27" t="s">
        <v>209</v>
      </c>
      <c r="AX1" s="27" t="s">
        <v>750</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907</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71" activePane="bottomLeft" state="frozen"/>
      <selection pane="bottomLeft" activeCell="K71" sqref="K7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4" t="s">
        <v>913</v>
      </c>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4" t="s">
        <v>923</v>
      </c>
    </row>
    <row r="6" spans="1:11" ht="270" x14ac:dyDescent="0.25">
      <c r="A6" s="1" t="str">
        <f>IF(receta!A6="","",receta!A6)</f>
        <v>Amaretto Sour</v>
      </c>
      <c r="B6" s="4" t="s">
        <v>731</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t="s">
        <v>924</v>
      </c>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4" t="s">
        <v>925</v>
      </c>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t="s">
        <v>929</v>
      </c>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4" t="s">
        <v>930</v>
      </c>
    </row>
    <row r="29" spans="1:11" ht="360" x14ac:dyDescent="0.25">
      <c r="A29" s="1" t="str">
        <f>IF(receta!A29="","",receta!A29)</f>
        <v>Clavo Oxidado</v>
      </c>
      <c r="B29" s="1"/>
      <c r="C29" s="4" t="s">
        <v>507</v>
      </c>
      <c r="D29" s="1"/>
      <c r="E29" s="1" t="s">
        <v>499</v>
      </c>
      <c r="F29" s="1" t="s">
        <v>498</v>
      </c>
      <c r="G29" s="1"/>
      <c r="H29" s="5"/>
      <c r="I29" s="1"/>
      <c r="J29" s="1"/>
      <c r="K29" s="4" t="s">
        <v>942</v>
      </c>
    </row>
    <row r="30" spans="1:11" ht="409.5" x14ac:dyDescent="0.25">
      <c r="A30" s="1" t="str">
        <f>IF(receta!A30="","",receta!A30)</f>
        <v>Cléry</v>
      </c>
      <c r="B30" s="4" t="s">
        <v>743</v>
      </c>
      <c r="C30" s="4" t="s">
        <v>673</v>
      </c>
      <c r="D30" s="4" t="s">
        <v>926</v>
      </c>
      <c r="E30" s="1"/>
      <c r="F30" s="1"/>
      <c r="G30" s="1"/>
      <c r="H30" s="1"/>
      <c r="I30" s="1"/>
      <c r="J30" s="1"/>
      <c r="K30" s="4" t="s">
        <v>943</v>
      </c>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t="s">
        <v>927</v>
      </c>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t="s">
        <v>928</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t="s">
        <v>937</v>
      </c>
      <c r="H40" s="5" t="s">
        <v>938</v>
      </c>
      <c r="I40" s="4"/>
      <c r="J40" s="5"/>
      <c r="K40" s="1" t="s">
        <v>936</v>
      </c>
    </row>
    <row r="41" spans="1:11" ht="210" x14ac:dyDescent="0.25">
      <c r="A41" s="1" t="str">
        <f>IF(receta!A41="","",receta!A41)</f>
        <v>Dama Blanca</v>
      </c>
      <c r="B41" s="4" t="s">
        <v>731</v>
      </c>
      <c r="C41" s="4" t="s">
        <v>480</v>
      </c>
      <c r="D41" s="4"/>
      <c r="E41" s="1"/>
      <c r="F41" s="1"/>
      <c r="G41" s="1"/>
      <c r="H41" s="1"/>
      <c r="I41" s="1"/>
      <c r="J41" s="1"/>
      <c r="K41" s="1"/>
    </row>
    <row r="42" spans="1:11" ht="120" x14ac:dyDescent="0.25">
      <c r="A42" s="1" t="str">
        <f>IF(receta!A42="","",receta!A42)</f>
        <v>Dark &amp; Stormy</v>
      </c>
      <c r="B42" s="1"/>
      <c r="C42" s="4" t="s">
        <v>461</v>
      </c>
      <c r="D42" s="1"/>
      <c r="E42" s="1" t="s">
        <v>463</v>
      </c>
      <c r="F42" s="1" t="s">
        <v>462</v>
      </c>
      <c r="G42" s="1"/>
      <c r="H42" s="1"/>
      <c r="I42" s="1"/>
      <c r="J42" s="1"/>
      <c r="K42" s="4" t="s">
        <v>932</v>
      </c>
    </row>
    <row r="43" spans="1:11" ht="270" x14ac:dyDescent="0.25">
      <c r="A43" s="1" t="str">
        <f>IF(receta!A43="","",receta!A43)</f>
        <v>Destornillador</v>
      </c>
      <c r="B43" s="1"/>
      <c r="C43" s="4" t="s">
        <v>595</v>
      </c>
      <c r="D43" s="4" t="s">
        <v>596</v>
      </c>
      <c r="E43" s="1"/>
      <c r="F43" s="5"/>
      <c r="G43" s="1" t="s">
        <v>257</v>
      </c>
      <c r="H43" s="5" t="s">
        <v>258</v>
      </c>
      <c r="I43" s="1"/>
      <c r="J43" s="5"/>
      <c r="K43" s="4" t="s">
        <v>933</v>
      </c>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120" x14ac:dyDescent="0.25">
      <c r="A54" s="1" t="str">
        <f>IF(receta!A54="","",receta!A54)</f>
        <v>Faro</v>
      </c>
      <c r="B54" s="1"/>
      <c r="C54" s="4" t="s">
        <v>686</v>
      </c>
      <c r="D54" s="4"/>
      <c r="E54" s="1"/>
      <c r="F54" s="5"/>
      <c r="G54" s="1" t="s">
        <v>352</v>
      </c>
      <c r="H54" s="5" t="s">
        <v>290</v>
      </c>
      <c r="I54" s="1"/>
      <c r="J54" s="5"/>
      <c r="K54" s="4" t="s">
        <v>921</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916</v>
      </c>
      <c r="F61" s="5" t="s">
        <v>915</v>
      </c>
      <c r="G61" s="4"/>
      <c r="H61" s="1"/>
      <c r="I61" s="1"/>
      <c r="J61" s="1"/>
      <c r="K61" s="4" t="s">
        <v>917</v>
      </c>
    </row>
    <row r="62" spans="1:11" ht="345" x14ac:dyDescent="0.25">
      <c r="A62" s="1" t="str">
        <f>IF(receta!A62="","",receta!A62)</f>
        <v>Gin con Gin</v>
      </c>
      <c r="B62" s="1"/>
      <c r="C62" s="4" t="s">
        <v>740</v>
      </c>
      <c r="D62" s="1"/>
      <c r="E62" s="4" t="s">
        <v>409</v>
      </c>
      <c r="F62" s="5" t="s">
        <v>410</v>
      </c>
      <c r="G62" s="4"/>
      <c r="H62" s="5"/>
      <c r="I62" s="4"/>
      <c r="J62" s="5"/>
      <c r="K62" s="4" t="s">
        <v>941</v>
      </c>
    </row>
    <row r="63" spans="1:11" ht="409.5" x14ac:dyDescent="0.25">
      <c r="A63" s="1" t="str">
        <f>IF(receta!A63="","",receta!A63)</f>
        <v>Gin Tonic</v>
      </c>
      <c r="B63" s="1"/>
      <c r="C63" s="1"/>
      <c r="D63" s="4" t="s">
        <v>369</v>
      </c>
      <c r="E63" s="1" t="s">
        <v>159</v>
      </c>
      <c r="F63" s="5" t="s">
        <v>160</v>
      </c>
      <c r="G63" s="4" t="s">
        <v>411</v>
      </c>
      <c r="H63" s="5" t="s">
        <v>337</v>
      </c>
      <c r="I63" s="1" t="s">
        <v>770</v>
      </c>
      <c r="J63" s="5" t="s">
        <v>771</v>
      </c>
      <c r="K63" s="4" t="s">
        <v>940</v>
      </c>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t="s">
        <v>935</v>
      </c>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4" t="s">
        <v>920</v>
      </c>
    </row>
    <row r="70" spans="1:11" ht="195" x14ac:dyDescent="0.25">
      <c r="A70" s="1" t="str">
        <f>IF(receta!A70="","",receta!A70)</f>
        <v>Jardín</v>
      </c>
      <c r="B70" s="1"/>
      <c r="C70" s="1" t="s">
        <v>372</v>
      </c>
      <c r="D70" s="4" t="s">
        <v>402</v>
      </c>
      <c r="E70" s="1" t="s">
        <v>400</v>
      </c>
      <c r="F70" s="1" t="s">
        <v>401</v>
      </c>
      <c r="G70" s="1"/>
      <c r="H70" s="1"/>
      <c r="I70" s="1"/>
      <c r="J70" s="1"/>
      <c r="K70" s="1"/>
    </row>
    <row r="71" spans="1:11" ht="225" x14ac:dyDescent="0.25">
      <c r="A71" s="1" t="str">
        <f>IF(receta!A71="","",receta!A71)</f>
        <v>John Collins</v>
      </c>
      <c r="B71" s="1"/>
      <c r="C71" s="4" t="s">
        <v>464</v>
      </c>
      <c r="D71" s="1"/>
      <c r="E71" s="1" t="s">
        <v>471</v>
      </c>
      <c r="F71" s="5" t="s">
        <v>470</v>
      </c>
      <c r="G71" s="1"/>
      <c r="H71" s="5"/>
      <c r="I71" s="1"/>
      <c r="J71" s="5"/>
      <c r="K71" s="4" t="s">
        <v>946</v>
      </c>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1"/>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939</v>
      </c>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4" t="s">
        <v>944</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1"/>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4" t="s">
        <v>934</v>
      </c>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922</v>
      </c>
      <c r="E129" s="1"/>
      <c r="F129" s="1"/>
      <c r="G129" s="1"/>
      <c r="H129" s="1"/>
      <c r="I129" s="1"/>
      <c r="J129" s="1"/>
      <c r="K129" s="4" t="s">
        <v>918</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4" t="s">
        <v>945</v>
      </c>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911</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4" t="s">
        <v>931</v>
      </c>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1"/>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4" t="s">
        <v>919</v>
      </c>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1"/>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914</v>
      </c>
      <c r="E170" s="1" t="s">
        <v>473</v>
      </c>
      <c r="F170" s="1" t="s">
        <v>472</v>
      </c>
      <c r="G170" s="1"/>
      <c r="H170" s="5"/>
      <c r="I170" s="1"/>
      <c r="J170" s="1"/>
      <c r="K170" s="4" t="s">
        <v>905</v>
      </c>
    </row>
    <row r="171" spans="1:11" ht="409.5" x14ac:dyDescent="0.25">
      <c r="A171" s="1" t="str">
        <f>IF(receta!A171="","",receta!A171)</f>
        <v>Jerez Sour</v>
      </c>
      <c r="B171" s="4" t="s">
        <v>903</v>
      </c>
      <c r="C171" s="4" t="s">
        <v>912</v>
      </c>
      <c r="D171" s="4" t="s">
        <v>894</v>
      </c>
      <c r="E171" s="1"/>
      <c r="F171" s="1"/>
      <c r="G171" s="1"/>
      <c r="H171" s="5"/>
      <c r="I171" s="1"/>
      <c r="J171" s="1"/>
      <c r="K171" s="4" t="s">
        <v>910</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s>
  <pageMargins left="0.7" right="0.7" top="0.75" bottom="0.75" header="0.3" footer="0.3"/>
  <pageSetup orientation="portrait" r:id="rId6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2026-02-06T15:02:17Z</dcterms:modified>
</cp:coreProperties>
</file>