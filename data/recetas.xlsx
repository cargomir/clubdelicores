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3C745B76-80BD-45DF-96DE-37334DD66C29}" xr6:coauthVersionLast="47" xr6:coauthVersionMax="47" xr10:uidLastSave="{00000000-0000-0000-0000-000000000000}"/>
  <bookViews>
    <workbookView xWindow="-120" yWindow="-12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complementos!$A$1:$AE$250</definedName>
    <definedName name="_xlnm._FilterDatabase" localSheetId="0" hidden="1">receta!$A$1:$EW$170</definedName>
    <definedName name="_xlnm._FilterDatabase" localSheetId="2" hidden="1">recurso!$A$1:$K$250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71" i="1" l="1"/>
  <c r="H170" i="1"/>
  <c r="H169" i="1"/>
  <c r="H168" i="1"/>
  <c r="H167" i="1"/>
  <c r="H166" i="1"/>
  <c r="H165" i="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<sst xmlns="http://schemas.openxmlformats.org/spreadsheetml/2006/main" count="1458" uniqueCount="914">
  <si>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</si>
  <si>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</si>
  <si>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</si>
  <si>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</si>
  <si>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</si>
  <si>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</si>
  <si>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</si>
  <si>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</si>
  <si>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</si>
  <si>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</si>
  <si>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</si>
  <si>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</si>
  <si>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</si>
  <si>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</si>
  <si>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</si>
  <si>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</si>
  <si>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</si>
  <si>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</si>
  <si>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</si>
  <si>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</si>
  <si>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</si>
  <si>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</si>
  <si>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</si>
  <si>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</si>
  <si>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</si>
  <si>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</si>
  <si>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</si>
  <si>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</si>
  <si>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</si>
  <si>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</si>
  <si>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</si>
  <si>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</si>
  <si>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</si>
  <si>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</si>
  <si>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</si>
  <si>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</si>
  <si>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</si>
  <si>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</si>
  <si>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</si>
  <si>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</si>
  <si>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</si>
  <si>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</si>
  <si>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</si>
  <si>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</si>
  <si>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</si>
  <si>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</si>
  <si>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</si>
  <si>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</si>
  <si>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</si>
  <si>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</si>
  <si>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</si>
  <si>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</si>
  <si>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</si>
  <si>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</si>
  <si>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</si>
  <si>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</si>
  <si>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</si>
  <si>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</si>
  <si>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</si>
  <si>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</si>
  <si>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</si>
  <si>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</si>
  <si>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</si>
  <si>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</si>
  <si>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</si>
  <si>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</si>
  <si>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</si>
  <si>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</si>
  <si>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</si>
  <si>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</si>
  <si>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</si>
  <si>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</si>
  <si>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</si>
  <si>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</si>
  <si>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</si>
  <si>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</si>
  <si>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</si>
  <si>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</si>
  <si>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</si>
  <si>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</si>
  <si>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</si>
  <si>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</si>
  <si>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</si>
  <si>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</si>
  <si>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</si>
  <si>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</si>
  <si>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</si>
  <si>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</si>
  <si>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</si>
  <si>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</si>
  <si>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</si>
  <si>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</si>
  <si>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</si>
  <si>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</si>
  <si>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</si>
  <si>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</si>
  <si>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</si>
  <si>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</si>
  <si>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</si>
  <si>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</si>
  <si>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</si>
  <si>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</si>
  <si>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</si>
  <si>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</si>
  <si>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</si>
  <si>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</si>
  <si>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</si>
  <si>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</si>
  <si>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</si>
  <si>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</si>
  <si>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</si>
  <si>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</si>
  <si>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</si>
  <si>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</si>
  <si>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</si>
  <si>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</si>
  <si>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</si>
  <si>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</si>
  <si>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</si>
  <si>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</si>
  <si>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</si>
  <si>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</si>
  <si>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</si>
  <si>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</si>
  <si>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</si>
  <si>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</si>
  <si>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</si>
  <si>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</si>
  <si>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</si>
  <si>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</si>
  <si>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</si>
  <si>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</si>
  <si>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</si>
  <si>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</si>
  <si>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</si>
  <si>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</si>
  <si>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</si>
  <si>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</si>
  <si>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</si>
  <si>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</si>
  <si>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</si>
  <si>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</si>
  <si>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</si>
  <si>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</si>
  <si>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</si>
  <si>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</si>
  <si>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</si>
  <si>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</si>
  <si>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</si>
  <si>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</si>
  <si>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</si>
  <si>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</si>
  <si>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</si>
  <si>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</si>
  <si>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</si>
  <si>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</si>
  <si>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</si>
  <si>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</si>
  <si>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</si>
  <si>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</si>
  <si>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</si>
  <si>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</si>
  <si>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</si>
  <si>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</si>
  <si>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</si>
  <si>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</si>
  <si>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</si>
  <si>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</si>
  <si>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</si>
  <si>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</si>
  <si>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</si>
  <si>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</si>
  <si>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</si>
  <si>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</si>
  <si>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</si>
  <si>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</si>
  <si>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</si>
  <si>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</si>
  <si>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</si>
  <si>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</si>
  <si>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</si>
  <si>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</si>
  <si>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</si>
  <si>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</si>
  <si>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</si>
  <si>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</si>
  <si>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</si>
  <si>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</si>
  <si>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</si>
  <si>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</si>
  <si>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</si>
  <si>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</si>
  <si>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</si>
  <si>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</si>
  <si>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</si>
  <si>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</si>
  <si>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</si>
  <si>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</si>
  <si>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</si>
  <si>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</si>
  <si>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</si>
  <si>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</si>
  <si>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</si>
  <si>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</si>
  <si>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</si>
  <si>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</si>
  <si>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</si>
  <si>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</si>
  <si>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</si>
  <si>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</si>
  <si>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</si>
  <si>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</si>
  <si>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</si>
  <si>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</si>
  <si>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</si>
  <si>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</si>
  <si>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</si>
  <si>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</si>
  <si>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</si>
  <si>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</si>
  <si>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</si>
  <si>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</si>
  <si>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</si>
  <si>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</si>
  <si>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</si>
  <si>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</si>
  <si>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</si>
  <si>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</si>
  <si>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</si>
  <si>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</si>
  <si>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</si>
  <si>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</si>
  <si>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</si>
  <si>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</si>
  <si>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</si>
  <si>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</si>
  <si>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</si>
  <si>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</si>
  <si>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</si>
  <si>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</si>
  <si>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</si>
  <si>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</si>
  <si>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</si>
  <si>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</si>
  <si>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</si>
  <si>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</si>
  <si>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</si>
  <si>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</si>
  <si>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</si>
  <si>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</si>
  <si>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</si>
  <si>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</si>
  <si>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</si>
  <si>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</si>
  <si>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</si>
  <si>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</si>
  <si>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</si>
  <si>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</si>
  <si>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</si>
  <si>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</si>
  <si>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</si>
  <si>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</si>
  <si>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</si>
  <si>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</si>
  <si>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</si>
  <si>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</si>
  <si>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</si>
  <si>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</si>
  <si>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</si>
  <si>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</si>
  <si>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</si>
  <si>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</si>
  <si>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</si>
  <si>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</si>
  <si>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</si>
  <si>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</si>
  <si>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</si>
  <si>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</si>
  <si>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</si>
  <si>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</si>
  <si>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</si>
  <si>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</si>
  <si>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</si>
  <si>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</si>
  <si>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</si>
  <si>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</si>
  <si>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</si>
  <si>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</si>
  <si>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</si>
  <si>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</si>
  <si>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</si>
  <si>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</si>
  <si>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</si>
  <si>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</si>
  <si>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</si>
  <si>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</si>
  <si>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</si>
  <si>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</si>
  <si>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</si>
  <si>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</si>
  <si>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</si>
  <si>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</si>
  <si>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</si>
  <si>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</si>
  <si>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</si>
  <si>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</si>
  <si>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</si>
  <si>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</si>
  <si>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</si>
  <si>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</si>
  <si>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</si>
  <si>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</si>
  <si>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</si>
  <si>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</si>
  <si>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</si>
  <si>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</si>
  <si>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</si>
  <si>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</si>
  <si>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</si>
  <si>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</si>
  <si>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</si>
  <si>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</si>
  <si>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</si>
  <si>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</si>
  <si>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</si>
  <si>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</si>
  <si>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</si>
  <si>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</si>
  <si>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</si>
  <si>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</si>
  <si>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</si>
  <si>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</si>
  <si>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</si>
  <si>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</si>
  <si>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</si>
  <si>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</si>
  <si>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</si>
  <si>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</si>
  <si>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</si>
  <si>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</si>
  <si>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</si>
  <si>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</si>
  <si>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</si>
  <si>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</si>
  <si>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</si>
  <si>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</si>
  <si>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</si>
  <si>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</si>
  <si>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</si>
  <si>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</si>
  <si>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</si>
  <si>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</si>
  <si>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</si>
  <si>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</si>
  <si>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</si>
  <si>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</si>
  <si>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</si>
  <si>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</si>
  <si>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</si>
  <si>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</si>
  <si>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</si>
  <si>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</si>
  <si>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</si>
  <si>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</si>
  <si>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</si>
  <si>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</si>
  <si>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</si>
  <si>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</si>
  <si>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</si>
  <si>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</si>
  <si>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</si>
  <si>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</si>
  <si>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</si>
  <si>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</si>
  <si>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</si>
  <si>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</si>
  <si>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</si>
  <si>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</si>
  <si>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</si>
  <si>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</si>
  <si>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</si>
  <si>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</si>
  <si>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</si>
  <si>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Receta de la casa con inspiración mexicana.</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</si>
  <si>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</si>
  <si>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</si>
  <si>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</si>
  <si>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</si>
  <si>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</si>
  <si>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</si>
  <si>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</si>
  <si>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</si>
  <si>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</si>
  <si>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</si>
  <si>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</si>
  <si>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</si>
  <si>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</si>
  <si>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</si>
  <si>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</si>
  <si>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</si>
  <si>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</si>
  <si>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</si>
  <si>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</si>
  <si>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</si>
  <si>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</si>
  <si>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</si>
  <si>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</si>
  <si>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</si>
  <si>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</si>
  <si>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</si>
  <si>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</si>
  <si>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</si>
  <si>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</si>
  <si>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</si>
  <si>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</si>
  <si>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</si>
  <si>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</si>
  <si>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</si>
  <si>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</si>
  <si>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</si>
  <si>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</si>
  <si>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</si>
  <si>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</si>
  <si>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</si>
  <si>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</si>
  <si>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</si>
  <si>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</si>
  <si>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</si>
  <si>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</si>
  <si>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</si>
  <si>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</si>
  <si>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</si>
  <si>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</si>
  <si>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</si>
  <si>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</si>
  <si>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</si>
  <si>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</si>
  <si>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</si>
  <si>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</si>
  <si>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</si>
  <si>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</si>
  <si>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</si>
  <si>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</si>
  <si>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</si>
  <si>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</si>
  <si>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</si>
  <si>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</si>
  <si>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</si>
  <si>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</si>
  <si>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</si>
  <si>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</si>
  <si>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</si>
  <si>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</si>
  <si>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</si>
  <si>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</si>
  <si>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</si>
  <si>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</si>
  <si>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</si>
  <si>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</si>
  <si>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</si>
  <si>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</si>
  <si>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</si>
  <si>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</si>
  <si>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</si>
  <si>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</si>
  <si>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Laguna Azul (Blue Lagoon, en inglés) es un cóctel vistoso y refrescante, reconocido por su color azul intenso y su perfil cítrico y dulce. Es popular en fiestas, barras veraniegas y cartas de coctelería por su atractivo visual y su sencillez de preparación. Existen variantes que se preparan solo con jugo de limón, mientras que otras incorporan gaseosas de limón, como Sprite o 7Up, para añadir efervescencia y un toque más suave.</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</si>
  <si>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</si>
  <si>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</si>
  <si>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</si>
  <si>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</si>
  <si>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</si>
  <si>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</si>
  <si>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</si>
  <si>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</si>
  <si>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</si>
  <si>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</si>
  <si>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</si>
  <si>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</si>
  <si>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</si>
  <si>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</si>
  <si>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</si>
  <si>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</si>
  <si>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</si>
  <si>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</si>
  <si>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</si>
  <si>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</si>
  <si>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</si>
  <si>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</si>
  <si>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</si>
  <si>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</si>
  <si>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</si>
  <si>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</si>
  <si>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</si>
  <si>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</si>
  <si>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</si>
  <si>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</si>
  <si>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</si>
  <si>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</si>
  <si>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</si>
  <si>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</si>
  <si>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</si>
  <si>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</si>
  <si>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</si>
  <si>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</si>
  <si>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</si>
  <si>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</si>
  <si>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</si>
  <si>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</si>
  <si>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</si>
  <si>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</si>
  <si>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</si>
  <si>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</si>
  <si>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</si>
  <si>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</si>
  <si>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</si>
  <si>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</si>
  <si>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</si>
  <si>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</si>
  <si>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</si>
  <si>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</si>
  <si>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</si>
  <si>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</si>
  <si>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</si>
  <si>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</si>
  <si>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</si>
  <si>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</si>
  <si>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</si>
  <si>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</si>
  <si>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</si>
  <si>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</si>
  <si>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</si>
  <si>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</si>
  <si>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</si>
  <si>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</si>
  <si>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</si>
  <si>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</si>
  <si>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</si>
  <si>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</si>
  <si>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</si>
  <si>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</si>
  <si>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</si>
  <si>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</si>
  <si>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</si>
  <si>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</si>
  <si>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</si>
  <si>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</si>
  <si>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</si>
  <si>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</si>
  <si>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</si>
  <si>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</si>
  <si>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</si>
  <si>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</si>
  <si>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</si>
  <si>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</si>
  <si>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</si>
  <si>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</si>
  <si>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</si>
  <si>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</si>
  <si>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</si>
  <si>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</si>
  <si>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</si>
  <si>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</si>
  <si>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</si>
  <si>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</si>
  <si>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</si>
  <si>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</si>
  <si>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</si>
  <si>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</si>
  <si>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</si>
  <si>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</si>
  <si>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</si>
  <si>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</si>
  <si>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</si>
  <si>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</si>
  <si>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</si>
  <si>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</si>
  <si>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</si>
  <si>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</si>
  <si>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</si>
  <si>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</si>
  <si>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</si>
  <si>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</si>
  <si>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</si>
  <si>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</si>
  <si>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</si>
  <si>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</si>
  <si>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</si>
  <si>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</si>
  <si>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</si>
  <si>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</si>
  <si>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</si>
  <si>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</si>
  <si>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</si>
  <si>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</si>
  <si>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</si>
  <si>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</si>
  <si>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</si>
  <si>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</si>
  <si>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</si>
  <si>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</si>
  <si>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</si>
  <si>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</si>
  <si>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</si>
  <si>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</si>
  <si>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</si>
  <si>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</si>
  <si>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</si>
  <si>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</si>
  <si>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</si>
  <si>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</si>
  <si>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</si>
  <si>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</si>
  <si>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</si>
  <si>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</si>
  <si>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</si>
  <si>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</si>
  <si>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</si>
  <si>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</si>
  <si>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</si>
  <si>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</si>
  <si>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</si>
  <si>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</si>
  <si>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</si>
  <si>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</si>
  <si>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</si>
  <si>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</si>
  <si>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</si>
  <si>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</si>
  <si>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</si>
  <si>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</si>
  <si>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</si>
  <si>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</si>
  <si>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</si>
  <si>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</si>
  <si>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</si>
  <si>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</si>
  <si>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</si>
  <si>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</si>
  <si>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</si>
  <si>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</si>
  <si>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</si>
  <si>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</si>
  <si>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</si>
  <si>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</si>
  <si>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</si>
  <si>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</si>
  <si>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</si>
  <si>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</si>
  <si>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</si>
  <si>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</si>
  <si>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</si>
  <si>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</si>
  <si>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</si>
  <si>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</si>
  <si>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</si>
  <si>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</si>
  <si>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</si>
  <si>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</si>
  <si>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</si>
  <si>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</si>
  <si>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</si>
  <si>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</si>
  <si>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</si>
  <si>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</si>
  <si>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</si>
  <si>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</si>
  <si>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</si>
  <si>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</si>
  <si>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</si>
  <si>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</si>
  <si>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</si>
  <si>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</si>
  <si>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</si>
  <si>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</si>
  <si>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</si>
  <si>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</si>
  <si>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</si>
  <si>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</si>
  <si>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</si>
  <si>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</si>
  <si>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</si>
  <si>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</si>
  <si>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</si>
  <si>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</si>
  <si>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</si>
  <si>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</si>
  <si>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</si>
  <si>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</si>
  <si>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</si>
  <si>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</si>
  <si>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</si>
  <si>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</si>
  <si>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</si>
  <si>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</si>
  <si>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</si>
  <si>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</si>
  <si>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</si>
  <si>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</si>
  <si>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</si>
  <si>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</si>
  <si>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</si>
  <si>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</si>
  <si>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</si>
  <si>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</si>
  <si>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</si>
  <si>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</si>
  <si>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</si>
  <si>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</si>
  <si>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</si>
  <si>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</si>
  <si>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</si>
  <si>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</si>
  <si>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</si>
  <si>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</si>
  <si>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</si>
  <si>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</si>
  <si>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</si>
  <si>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</si>
  <si>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</si>
  <si>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</si>
  <si>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</si>
  <si>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</si>
  <si>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</si>
  <si>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</si>
  <si>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</si>
  <si>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</si>
  <si>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</si>
  <si>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</si>
  <si>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</si>
  <si>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</si>
  <si>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</si>
  <si>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</si>
  <si>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</si>
  <si>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</si>
  <si>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</si>
  <si>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</si>
  <si>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</si>
  <si>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</si>
  <si>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</si>
  <si>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</si>
  <si>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</si>
  <si>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</si>
  <si>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</si>
  <si>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</si>
  <si>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</si>
  <si>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</si>
  <si>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</si>
  <si>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</si>
  <si>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</si>
  <si>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</si>
  <si>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</si>
  <si>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</si>
  <si>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</si>
  <si>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</si>
  <si>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</si>
  <si>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</si>
  <si>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</si>
  <si>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</si>
  <si>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</si>
  <si>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</si>
  <si>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</si>
  <si>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</si>
  <si>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</si>
  <si>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</si>
  <si>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</si>
  <si>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</si>
  <si>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</si>
  <si>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</si>
  <si>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</si>
  <si>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</si>
  <si>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</si>
  <si>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</si>
  <si>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</si>
  <si>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</si>
  <si>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</si>
  <si>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</si>
  <si>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</si>
  <si>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</si>
  <si>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</si>
  <si>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</si>
  <si>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</si>
  <si>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</si>
  <si>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</si>
  <si>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</si>
  <si>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</si>
  <si>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</si>
  <si>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</si>
  <si>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</si>
  <si>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</si>
  <si>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</si>
  <si>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</si>
  <si>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</si>
  <si>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</si>
  <si>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</si>
  <si>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</si>
  <si>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</si>
  <si>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</si>
  <si>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</si>
  <si>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</si>
  <si>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</si>
  <si>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</si>
  <si>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</si>
  <si>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</si>
  <si>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</si>
  <si>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</si>
  <si>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</si>
  <si>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</si>
  <si>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</si>
  <si>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</si>
  <si>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</si>
  <si>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</si>
  <si>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</si>
  <si>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</si>
  <si>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</si>
  <si>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</si>
  <si>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</si>
  <si>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</si>
  <si>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</si>
  <si>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</si>
  <si>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</si>
  <si>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</si>
  <si>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</si>
  <si>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</si>
  <si>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</si>
  <si>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</si>
  <si>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</si>
  <si>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</si>
  <si>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</si>
  <si>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</si>
  <si>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</si>
  <si>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</si>
  <si>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</si>
  <si>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</si>
  <si>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 xml:space="preserve">
El Terremoto es un cóctel típico chileno, muy popular durante las Fiestas Patrias. La receta tradicional utiliza vino pipeño, un vino blanco joven y dulce característico de Chile. Si no tienes pipeño, puedes reemplazarlo por un vino blanco, idealmemte joven, fresco y ligeramente dulce.</t>
  </si>
  <si>
    <t>Mezcla en un vaso partes iguales  de chicha de uva y pipeño. Sirve frío.</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</si>
  <si>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</si>
  <si>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</si>
  <si>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</si>
  <si>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</si>
  <si>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</si>
  <si>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</si>
  <si>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</si>
  <si>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</si>
  <si>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</si>
  <si>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</si>
  <si>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</si>
  <si>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La bebida fue inventada por Henry Ramos en 1888, en su bar Meyer’s Table d’Hôtel Internationale, en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</si>
  <si>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</si>
  <si>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</si>
  <si>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</si>
  <si>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</si>
  <si>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</si>
  <si>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</si>
  <si>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</si>
  <si>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</si>
  <si>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</si>
  <si>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</si>
  <si>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</si>
  <si>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</si>
  <si>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</si>
  <si>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Santiago del Nuevo Extremo · Inti illimani - La Mitad Lejana</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</si>
  <si>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</si>
  <si>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</si>
  <si>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</si>
  <si>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</si>
  <si>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</si>
  <si>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</si>
  <si>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</si>
  <si>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</si>
  <si>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</si>
  <si>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</si>
  <si>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</si>
  <si>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</si>
  <si>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</si>
  <si>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</si>
  <si>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</si>
  <si>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</si>
  <si>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</si>
  <si>
    <t>Aguardiente
Claudio Bertoni
el llanto
es aguardiente
Poema de:
Bertoni, Claudio. the price of love. Pequeño Dios Editores, 2018.</t>
  </si>
  <si>
    <t>Soul Sisters
Claudio Bertoni
entro a una fuente de soda
no sé si quedarme o no
dos viejitas tomando malta:
me quedo
Poema de:
Bertoni, Claudio. the price of love. Pequeño Dios Editores, 2018.</t>
  </si>
  <si>
    <t>Estoy Enfermo
Claudio Bertoni
estoy enfermo
me turbo más
y me siento peor todavía
me tomo una cerveza tibia
me siento peor todavía
el día está tibio
me siento peor todavía
voy a la bolsa de comercio
a cobrar un dividendo de Endesa
y me siento peor todavía
voy al banco de Crédito e Inversiones
a cobrar un cheque de 5315 pesos
de la plata de unos remedios para la Macarena
que le presté a Bruno ayer y
me siento peor todavía.
Sentado en este bar
a las doce del día
me siento bien en
Salvador con Irarrázaval.
no estoy en el poder
estoy en el paradero
no estoy en el poder
estoy en la micro
no estoy en el poder
estoy en una cola de chilectra
no estoy en el poder
estoy en una sala de espera
no estoy en el poder
estoy subiendo a una micro
no estoy en el poder
estoy bajando de una micro
no estoy en el poder
estoy haciendo cola
no estoy en el poder
estoy en una fuente de soda
tomándome una malta
no estoy en el poder
estoy en una fuente de soda
comiéndome un completo
no estoy en el poder
estoy en una fuente de soda
viendo el festival de la una
en un televisor motorola.
Poema de:
Bertoni, Claudio. Harakiri. LOM Ediciones, 2005.</t>
  </si>
  <si>
    <t>Para preparar el vino navegado, sigue estos pasos:
1. Corta las naranjas con cáscara en rodajas finas y elimina las pepas.
2. En una olla, coloca el vino tinto, el azúcar, las rodajas de naranja, los clavos de olor, el anís y las ramitas de canela. 
3. Reduce el fuego al mínimo y deja hervir suavemente durante 10 a 15 minutos. Si deseas, puedes flambear el vino para quemar parte del alcohol; mantenerlo o eliminarlo es una decisión totalmente personal.
4. Una vez listo, cuela la preparación y sírvela en tazas o vasos resistentes al calor. Puedes decorar con media rodaja de naranja o una ramita de canela.
Opcionalmente, se pueden agregar otras especias como jengibre, cedrón o una pizca de nuez moscada para intensificar los aromas y aportar mayor profundidad de sabor.</t>
  </si>
  <si>
    <t>Mojito Sandía</t>
  </si>
  <si>
    <t>Triángulo de Sandía</t>
  </si>
  <si>
    <t>Los Tetas - Corazón de Sandía</t>
  </si>
  <si>
    <t>https://www.youtube.com/watch?v=6oYpc2xpLmQ</t>
  </si>
  <si>
    <t>Llena el vaso con hielo hasta el tope. Agrega el jugo de sandía, el jugo de limón y el jarabe de menta. Completa con agua con gas. Remueve suavemente con cuchara de bar, de abajo hacia arriba, para integrar sin perder carbonatación. Decora con sandía, limón y hojas de menta.</t>
  </si>
  <si>
    <t xml:space="preserve">Para preparar el jugo de sandía, corta la sandía en trozos medianos, retirando la cáscara y la mayor cantidad posible de semillas. Coloca los trozos en la licuadora y agrega un poco de agua (muy poca, solo si es necesario). Licúa a velocidad alta hasta obtener un líquido homogéneo. Finalmente, cuela el jugo con un colador fino o malla y resérvalo en frío hasta su uso.
Esta receta corresponde a una versión personal del cóctel. La versión original no incluye jarabe de menta, sino hojas de hierbabuena y azúcar, y se prepara utilizando la técnica de muddling (machacado suave) para liberar los aceites esenciales de las hojas frescas. </t>
  </si>
  <si>
    <t>delia_matte.jpg
Fuente: Memoria Chilena, Biblioteca Nacional de Chile (https://www.memoriachilena.gob.cl/602/w3-article-63234.html)</t>
  </si>
  <si>
    <t>georges_brassens.jpg
Georges Brassens en concierto en el Bobino, histórica sala de espectáculos de París, 12 de octubre de 1972.</t>
  </si>
  <si>
    <t>Este cóctel es una receta de la casa y su nombre es un guiño a la leyenda urbana que, especialmente en Argentina, condenó por décadas la mezcla de sandía y vino como peligrosa o incluso mortal. El nombre de este cóctel recupera esa combinación “prohibida” y la resignifica: lo que alguna vez fue amenaza, hoy se presenta como contraste fresco, veraniego y lúdico. Mala reputación juega con ese pasado injusto.
Durante mucho tiempo, y en algunos lugares más que en otros, se creyó que esta combinación era riesgosa. Sin embargo, el periodista y divulgador argentino Facundo Di Génova, en su libro El Barman Científico (2008), no solo desmintió cualquier peligro, sino que explicó además que la sandía es rica en L-citrulina, un aminoácido que el organismo transforma en L-arginina y luego en óxido nítrico, un potente vasodilatador natural. El alcohol del vino produce un efecto similar por otra vía y, combinados, podrían funcionar como una suerte de potenciador sexual. En este sentido, la antigua prohibición puede leerse menos como advertencia médica y más como regulación moral.
Una versión especialmente interesante sobre el origen del mito la entregó el sommelier Diego Di Giacomo en una columna de 2013 (1). En ella relata que, hacia fines del siglo XIX, tras una serie de escándalos sexuales ocurridos en un monasterio, el clero atribuyó la “corrupción moral” de los involucrados al consumo de vino con sandía y declaró esa combinación como pecado, asociándola simbólicamente al infierno. Con el tiempo, el “te manda al infierno” se desplazó en el imaginario popular hacia un más literal “te causa la muerte”.
Lo fascinante es que el melón es igual de rico en L-citrulina que la sandía y presenta efectos similares en combinación con el vino. Sin embargo, esta mezcla nunca cargó con la misma mala fama y es, de hecho, una de las más populares del verano.
(1) https://www.anbariloche.com.ar/noticias/2013/01/26/33696-vinos-y-mitos-si-comes-sandia-y-tomas-vino-seguro-te-moris</t>
  </si>
  <si>
    <t>Roser Bru, cuerpo herido y sandía abierta
Roser Bru (1923–2021) fue una de las artistas fundamentales del arte chileno contemporáneo. Nacida en Barcelona y llegada a Chile en 1939 a bordo del Winnipeg, su vida quedó marcada por el exilio, la violencia política y la experiencia temprana de la pérdida. Esa biografía no es un dato externo: es la materia misma de su obra.
Pintora, dibujante y grabadora, estudió pintura en la Escuela de Bellas Artes de la Universidad de Chile y se especializó en grabado en el Taller 99, dirigido por Nemesio Antúnez. Integró el equipo fundador de la Escuela de Arte de la Pontificia Universidad Católica de Chile, donde ejerció la docencia en dibujo y pintura entre 1964 y 1968.
Su obra se expuso en numerosos países y, en 2015, el Gobierno de Chile le otorgó el Premio Nacional de Artes Plásticas, entre muchos otros reconocimientos recibidos a lo largo de una trayectoria en la que desarrolló una estética austera y contenida, donde el cuerpo, la memoria, la ausencia y la huella se constituyen como ejes constantes.
En este marco se inscribió su exposición Cuerpo calado (1987). El término “calado” remite a un cuerpo abierto, expuesto, herido. Roser Bru trabaja el cuerpo como un lugar donde la historia deja marcas. Hay fragmentos, zonas ausentes, contornos incompletos. El vacío es la forma visual de la pérdida.
En este contexto, la obra Sandía calada adquiere una densidad que va mucho más allá de lo anecdótico o lo naturalista. No es una naturaleza muerta clásica. No es una celebración del color. Es un cuerpo doméstico, vital, que ha sido calado, vulnerado y ofrecido a la mirada. La pulpa roja remite inevitablemente a la carne y el triángulo, a la figura femenina. La sandía calada es, en ese sentido, profundamente inquietante, porque toma un objeto amable y lo somete a la lógica del daño. En esta operación, Roser Bru desplaza la violencia del campo explícitamente político al terreno de lo cotidiano y convierte a la sandía en superficie de inscripción de una herida que atraviesa también a otros cuerpos.</t>
  </si>
  <si>
    <t>sandia_calada.jpg
 “Sandía calada”
Autor: Roser Bru
Técnica: Aguafuerte intervenida</t>
  </si>
  <si>
    <t>Fragmento
Horacio Castellanos Moya
La estaba pasando tan bien en la librería Kramer, perdido en sus estanterías, hojeando tantos libros de diversos temas y factura, divagando, curioso, pasaba de un pasillo a otro, contento de haberme deshecho de la podredumbre que había estado atormentando mi espíritu desde temprano en la mañana, hasta que llegué a la sección con libros sobre la CIA, de la que me escabullí con presteza, no fuera a ser que padeciera una recaída; me fui de paso hacia la sección de poesía, y aunque yo no fuera más un lector constante de ese género, mucho menos en lengua inglesa, pondría mi mente en otra órbita, tal como en efecto sucedió porque encontré un libro, Las elegías del Duino de Rilke, que yo había leído con mucha pasión al final de mi adolescencia, cuando aún acariciaba el sueño de convertirme en poeta, algo de lo que pronto desistí por mi falta de talento y quizá por una corazonada salvadora, que es una estupidez ser escritor en un país en el que nadie lee, y peor ser poeta, al más talentoso lo pasaron por las armas sus propios camaradas.
Recuerdo que me llevó a buscar en ese estante un libro de poemas de Dalton traducido al inglés, pero no encontré nada, la fama es cosa fugaz y a veces ni la muerte escandalosa es suficiente para que los libros de un autor permanezcan en una estantería, y entonces recapacité en que si seguía esa búsqueda volvería a los estados de ánimo morbosos que quería mantener fuera de mi espíritu, por eso me encaminé al café-bar del que mi colega me había hablado con admiración y que no me defraudó, sino todo lo contrario: la prestancia de su barra y la variedad de bebidas que ofrecían —no solo vino y cerveza, como en los cafés de otras librerías— fueron motivo de regocijo, que enseguida estuve sentado en el taburete pidiendo un vodka tónic, contento además porque en los parlantes sonaba «Close to the Edge», la canción del grupo Yes, rock progresivo de la década de los setenta en el que yo había permanecido varado, y muy a gusto por cierto, era la única música que aún escuchaba porque me remontaba a aquella época de mi vida en que había querido ser músico, un poco antes de que quisiera ser poeta, como si la vida fuese un listado de lo que a uno le hubiese gustado ser y de lo que sólo la nostalgia queda, y me traía también el recuerdo de algún amigo con el que compartí la ilusión de convertirnos en lo que nunca logramos ser, como Douglas, quien llegaba con su guitarra a casa de mi madre todas las mañanas a eso de las nueve, cuando aún el calor no era tan insoportable y podíamos encerrarnos en mi habitación a tocar un par de horas, a repasar las canciones que él había compuesto y entonaba con una voz en la que trataba de imitar el tono afeminado de Jon Anderson, el cantante de Yes al que ahora yo escuchaba en la barra de The Kramer y al que, para ser sincero, Douglas no imitaba tan mal, con la ventaja que lo hacía desde sus propias composiciones y en español, un talento el tal Douglas, quien nunca había pasado por una escuela de música y componía y cantaba con suma facilidad, que no era mi caso, pues aunque había asistido a una escuela de música y recibido clases de guitarra con un maestro de primera, no hubo manera de que yo pudiera imitar a Steve Howe, el guitarrista de Yes que ahora arremetía con un solo en los parlantes del bar, lo que la naturaleza no da ni a golpes entra, dice el refrán, y yo era un sordo con cierta habilidad técnica para mover los dedos sobre el mástil de la guitarra, y no es esa precisamente la definición de un músico, algo que por suerte comprendí luego de un tiempo y le dije a Douglas que mejor se buscara otro colega con quien desarrollar sus composiciones…
Extraído de:
Castellanos Moya, Horacio. Moronga. Random House, 2018.</t>
  </si>
  <si>
    <t>Los ratones bodegueros de González Byass
En las antiguas bodegas de González Byass, en Jerez de la Frontera, España, dedicadas a la producción de vinos y otras bebidas alcohólicas, entre ellas el emblemático vino de Jerez Tío Pepe, existe una tradición curiosa, por decirlo poco: la presencia de pequeños ratones que parecen disfrutar del vino y que, lejos de ser una plaga indeseada, forman parte importante de la experiencia de las visitas a la bodega.
La historia, según relatan cronistas y testimonios locales, se remonta a mediados del siglo XX, cuando José Gálvez Buzón, capataz de la bodega, notó que un pequeño ratón, probablemente similar a una laucha chilena, se acercaba a beber de un charco de vino dulce producido por la gotera de un barril recientemente manipulado. Intrigado por la escena, en los días siguientes comenzó a dejar vino y restos de comida para ganarse su confianza.
Con el tiempo, otros ratones se unieron al festín y la clientela comenzó a interesarse por aquellos animales que habían perdido el temor gracias a Gálvez. Entonces encargó a los toneleros pequeñas escaleritas de madera, para que los ratones pudieran exhibirse bebiendo directamente desde copas de degustación colocadas en el suelo de la bodega.
Los propios González Byass hicieron saber a Gálvez que aquello no parecía una buena idea, especialmente considerando que muchas de las mujeres que visitaban la bodega eran temerosas de los ratones. Sin embargo, al poco tiempo, al comprobar que las visitas atraídas por aquellas “lauchitas” llegaban desde todas partes, terminaron por aceptar la situación sin atreverse a contradecir al viejo capataz.
Aunque en la mayoría de las instalaciones alimentarias la presencia de roedores sería motivo de alarma, en estas bodegas se les ha permitido coexistir debido a una creencia tradicional: estos ratones se alimentan de insectos que dañan la madera de los toneles, ayudando así indirectamente a proteger el vino.
Hoy en día, la escena de ratones subiendo por escaleritas para beber Jerez se ha convertido en una curiosidad turística de interés internacional, parte del encanto y de la historia de una bodega centenaria que sigue fascinando a quienes la visitan.</t>
  </si>
  <si>
    <t>Whiskey de Centeno</t>
  </si>
  <si>
    <t>Old Pal</t>
  </si>
  <si>
    <t>El Boulevardier es un cóctel clásico nacido en el París de los años veinte. Su primera aparición documentada se encuentra en Barflies and Cocktails (1927), libro del bartender Harry MacElhone, aunque no en el recetario alfabético, sino en el capítulo “Cocktails Round Town”, escrito por el periodista Arthur Moss. En ese ensayo, Moss retrata bebidas asociadas a los habituales de Harry's Bar, epicentro de la vida nocturna de los expatriados estadounidenses en la capital francesa.
El Boulevardier fue creado por Erskine Gwynne, escritor y socialité estadounidense, miembro de un grupo que se autodenominaba boulevardiers por recorrer incansablemente los bulevares parisinos entre bares y cafés. Gwynne y Moss fueron además cofundadores de la revista Boulevardier, publicada en París entre 1927 y 1932, inspirada en The New Yorker y con colaboradores de primer nivel, entre ellos Ernest Hemingway. La receta original citada por Moss es 1/3 Campari, 1/3 vermú italiano dulce y 1/3 bourbon.
Desde el punto de vista estructural, el Boulevardier está estrechamente emparentado con el Negroni. Ambos comparten la base de Campari y vermú, pero en el Boulevardier el gin es reemplazado por whisky, dando como resultado un perfil más cálido y otoñal.
Tras permanecer durante décadas como una rareza histórica, el cóctel fue redescubierto y popularizado a partir de 2007 por el historiador y divulgador de la coctelería Ted Haigh, conocido como Dr. Cocktail. Aunque el Boulevardier seguía siendo poco frecuente a inicios de la década de 2010, hacia mediados de esa década ya se había consolidado como un clásico moderno del repertorio internacional. Este proceso culminó con su incorporación oficial en la lista de la International Bartenders Association (IBA) de 2020, dentro de la categoría Inolvidables. La receta IBA introduce una variación respecto de la fórmula histórica, proponiendo una proporción 1½ : 1 : 1 (frecuentemente expresada como 3:2:2) de whisky, Campari y vermú italiano dulce, y admite tanto bourbon como whisky de centeno.
En el mismo ensayo de MacElhone de 1927 aparece también el Old Pal, un cóctel estrechamente relacionado. En su versión original, el Old Pal se diferenciaba solo por emplear whisky de centeno, en particular Canadian Club, en lugar de bourbon, manteniendo partes iguales de Campari y vermú italiano dulce. Con el tiempo, su estándar contemporáneo evolucionó hacia una mezcla a partes iguales de whisky de centeno, vermú francés seco y Campari, dando lugar a un perfil más seco y austero que el del Boulevardier.</t>
  </si>
  <si>
    <t>El Old Pal es un cóctel clásico emparentado directamente con el Negroni y el Boulevardier, documentado —al igual que este último— en Barflies and Cocktails (1927) de Harry MacElhone. Ambos aparecen en el mismo ensayo de Arthur Moss y forman parte del repertorio de tragos asociados a la vida bohemia del París de entreguerras.
En su versión original, el Old Pal se diferenciaba del Boulevardier únicamente por el uso de whisky de centeno, en particular Canadian Club, manteniendo partes iguales de Campari, vermú italiano dulce y whisky. Con el tiempo, la receta evolucionó hacia su estándar contemporáneo, que emplea partes iguales de whisky de centeno, vermú francés seco y Campari, dando como resultado un cóctel más seco y herbal.</t>
  </si>
  <si>
    <t>Boulevardier</t>
  </si>
  <si>
    <t>Chardonnay Sour</t>
  </si>
  <si>
    <t>Carmenere Sour</t>
  </si>
  <si>
    <t>Para lograr una espuma más cremosa y uniforme en tu Chardonnay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</si>
  <si>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Para lograr una espuma más cremosa y uniforme en tu Carmenere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</si>
  <si>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Se recomienda usar Chardonnay, aunque si no lo tienes a mano, puedes utilizar sin problema otro vino blanco seco. El Chardonnay es una de las cepas blancas más famosas y cultivadas del mundo, originaria de Borgoña, Francia. Conocida como la reina de las uvas blancas, produce vinos muy versátiles, de buen cuerpo, con notas cítricas, frutas tropicales y, en muchos casos, toques de mantequilla o vainilla cuando ha sido criado en roble. En Chile, es la segunda variedad blanca más importante, con especial destaque en climas fríos como Limarí y Casablanca.</t>
  </si>
  <si>
    <t>carmenere.jpg</t>
  </si>
  <si>
    <t>Se recomienda usar Carmenere, aunque si no lo tienes disponible, puedes reemplazarlo por otro vino tinto suave y frutal. El Carmenere es una cepa que hoy se considera la variedad emblemática de Chile, aunque sus orígenes se encuentran en la región de Burdeos, Francia. Da origen a vinos de cuerpo medio, color intenso y taninos suaves, con un perfil aromático marcado por fruta negra madura, pimiento rojo asado, especias y delicadas notas herbales. En Chile se cultiva especialmente bien en valles como el Valle de Colchagua, el Valle del Maipo y el Valle de Cachapoal.</t>
  </si>
  <si>
    <t>Carmenere, la cepa olvidada
El Carmenere es un miembro de la familia Cabernet. Su nombre proviene de la palabra francesa carmin, en referencia al color carmín que adquiere su follaje antes de la caída de las hojas. Es considerada una de las seis uvas tintas originarias de Burdeos, junto con la Cabernet Sauvignon, la Cabernet Franc, la Merlot, la Malbec y la Petit Verdot. Sin embargo, hoy no es habitual encontrarla en Francia, y las mayores plantaciones de esta variedad se concentran en Chile.
Antes de la década de 1860, en los viñedos de Burdeos, al sudoeste de Francia, el Carmenere era una uva más del paisaje: oscura y fragante, pero caprichosa. No era la favorita de los viticultores debido a que brotaba temprano, sufría con las lluvias de primavera y presentaba rendimientos irregulares. Aun así, cuando todo salía bien, aportaba color y un carácter especiado a los vinos producidos a partir de mezclas ceparias, habituales en esa época. La lógica de los monovarietales se impondría recién a partir del siglo XX.
Alrededor de 1863, la filoxera, un parásito de la vid emparentado con los pulgones, fue introducida a Europa accidentalmente desde América del Norte, a través de plantas y material vegetal importado. Francia fue el primer país afectado, pero la filoxera terminó impactando prácticamente a toda Europa y, con el tiempo, a otras regiones del mundo. Sus consecuencias fueron devastadoras: millones de hectáreas de viñedos fueron destruidas, economías rurales colapsaron y la vitivinicultura europea debió reconstruirse casi por completo mediante la replantación con vides injertadas sobre portainjertos americanos resistentes a la filoxera. En ese proceso de reconstrucción, los productores optaron por cepas consideradas más seguras y predecibles: Cabernet Sauvignon, Merlot y Cabernet Franc, relegando a variedades más frágiles. Si bien el Carmenere no llegó a extinguirse por completo en Francia, se estima que, a finales del siglo XX, sus plantaciones no superaban las diez hectáreas en total.
Poco antes de tal tragedia, la vitivinicultura chilena estaba cambiando su rumbo de manera decisiva. Después de casi tres siglos cultivando variedades heredadas de España, en particular la cepa conocida como País negra, a partir de 1850, las élites agrícolas chilenas comenzaron a observar el modelo francés con admiración y ambición, e iniciaron la importación de plantas desde Burdeos para modernizar sus viñas, imitando estilos, nombres y prácticas. Las plantas llegaban en barcos, mezcladas y, en ocasiones, sin rotulación alguna. En esos viajes, el Carmenere cruzó silenciosamente el océano.
En nuestro país, la cepa no solo creció a salvo de la filoxera, sino que, gracias a las escasas precipitaciones durante su estación de crecimiento, encontró condiciones ideales para desarrollarse con vigor. El Carmenere se expandió exitosamente, pero durante más de cien años fue llamado Merlot. Un Merlot extraño, de maduración más tardía y con un perfil más herbal y profundo. Durante buena parte del siglo XX, el Carmenere pasó inadvertido, siendo cosechado y vinificado junto con el Merlot, llegando probablemente a representar hasta un 50% del volumen total de la vendimia, otorgando al Merlot chileno características marcadamente distintas de las que mostraba esta cepa en cualquier otro lugar del mundo.
En noviembre de 1994 visitó Chile el ampelógrafo francés Jean Michel Boursiquot, académico de la École Nationale Supérieure d’Agronomie de Montpellier (ENSA), invitado al VI Congreso Latinoamericano de Viticultura y Enología, presidido por el enólogo chileno Philippo Pszczólkowski y organizado por la Asociación Nacional de Ingenieros Agrónomos Enólogos de Chile. El programa del congreso incluía visitas técnicas a distintos viñedos de la zona central y, la tarde del jueves 24 de noviembre, Boursiquot recorría los viñedos de Viña Carmen, ubicados en Alto Jahuel, Buin. Mientras avanzaba entre las hileras, se percató que lo que se creía Merlot era en realidad Carmenere. El experto reconoció la cepa debido a que se encontraba en época de floración y sus brotes tenían pigmentación rojo-anaranjada. La noticia se propagó rápidamente. Este hallazgo marcó un antes y un después en la industria vitivinícola nacional y Viña Carmen se transformó en una de las principales impulsoras del desarrollo de esta variedad. 
En 1998, Chile la reconoció oficialmente como una variedad distinta y, en 2014, se instauró el 24 de noviembre como el Día del Carmenere. Hoy, nuestro país concentra cerca del 96% de las plantaciones de esta variedad a nivel mundial, custodiando, sin querer, un tesoro que el mar rescató del naufragio.</t>
  </si>
  <si>
    <t>Jerez Sour</t>
  </si>
  <si>
    <t>Oporto</t>
  </si>
  <si>
    <t>Jerez</t>
  </si>
  <si>
    <t>ratones_jerez2.jpg
Ratones bodegueros en plena degustación (fotografía restaurada con IA)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</si>
  <si>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</si>
  <si>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El jerez es un vino fortificado originario de Andalucía, España, elaborado principalmente con uvas Palomino y envejecido mediante el tradicional sistema de criaderas y soleras. Se caracteriza por su gran diversidad de estilos, que van desde muy secos y frescos hasta más complejos y dulces, con notas que pueden recordar a frutos secos, pan tostado, madera y salinidad.
Para esta preparación se recomienda utilizar un jerez estilo Fino, por su perfil seco, ligero y refrescante. Una opción clásica, ampliamente reconocida y disponible en Chile es el Tío Pepe, que aporta notas delicadas de almendra, levadura y un carácter fresco que funciona especialmente bien en coctelería.
El Jerez Sour es una reinterpretación moderna dentro de la tradición de los cócteles sour, destacando por su elegancia, frescura y por poner en valor los matices aromáticos y la personalidad del jerez.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</si>
</sst>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7">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4" fillId="11" borderId="3" xfId="0" applyFont="1" applyFill="1" applyBorder="1"/>
    <xf numFmtId="0" fontId="3" fillId="0" borderId="1" xfId="0" applyFont="1" applyBorder="1" applyAlignment="1">
      <alignment vertical="center" wrapText="1"/>
    </xf>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34" Type="http://schemas.openxmlformats.org/officeDocument/2006/relationships/hyperlink" Target="https://www.youtube.com/watch?v=xFBFKACOGNQ" TargetMode="External"/><Relationship Id="rId42" Type="http://schemas.openxmlformats.org/officeDocument/2006/relationships/hyperlink" Target="https://www.youtube.com/watch?v=v1Zl19Ccaec" TargetMode="External"/><Relationship Id="rId47" Type="http://schemas.openxmlformats.org/officeDocument/2006/relationships/hyperlink" Target="https://www.youtube.com/watch?v=SpHQ2HwG7fA" TargetMode="External"/><Relationship Id="rId50" Type="http://schemas.openxmlformats.org/officeDocument/2006/relationships/hyperlink" Target="https://www.youtube.com/watch?v=vTB_oFcRxhg" TargetMode="External"/><Relationship Id="rId55" Type="http://schemas.openxmlformats.org/officeDocument/2006/relationships/hyperlink" Target="https://www.youtube.com/watch?v=lmQmM2wva5Q" TargetMode="External"/><Relationship Id="rId63" Type="http://schemas.openxmlformats.org/officeDocument/2006/relationships/hyperlink" Target="https://www.youtube.com/watch?v=exyPQqohghs" TargetMode="External"/><Relationship Id="rId7" Type="http://schemas.openxmlformats.org/officeDocument/2006/relationships/hyperlink" Target="https://www.youtube.com/watch?v=by4EHmvME1c"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d0PioYGdLI4"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hr6QLEuFpXo" TargetMode="External"/><Relationship Id="rId32" Type="http://schemas.openxmlformats.org/officeDocument/2006/relationships/hyperlink" Target="https://www.youtube.com/watch?v=z92bykaeV4o" TargetMode="External"/><Relationship Id="rId37" Type="http://schemas.openxmlformats.org/officeDocument/2006/relationships/hyperlink" Target="https://www.youtube.com/watch?v=UviREczpKwE" TargetMode="External"/><Relationship Id="rId40" Type="http://schemas.openxmlformats.org/officeDocument/2006/relationships/hyperlink" Target="https://www.youtube.com/watch?v=jfO92V_rgMQ" TargetMode="External"/><Relationship Id="rId45" Type="http://schemas.openxmlformats.org/officeDocument/2006/relationships/hyperlink" Target="https://www.youtube.com/watch?v=IN2YEXbkatQ" TargetMode="External"/><Relationship Id="rId53" Type="http://schemas.openxmlformats.org/officeDocument/2006/relationships/hyperlink" Target="https://www.youtube.com/watch?v=22OZdZYeFe0" TargetMode="External"/><Relationship Id="rId58" Type="http://schemas.openxmlformats.org/officeDocument/2006/relationships/hyperlink" Target="https://www.youtube.com/watch?v=Up4WjdabA2c" TargetMode="External"/><Relationship Id="rId66" Type="http://schemas.openxmlformats.org/officeDocument/2006/relationships/printerSettings" Target="../printerSettings/printerSettings2.bin"/><Relationship Id="rId5" Type="http://schemas.openxmlformats.org/officeDocument/2006/relationships/hyperlink" Target="https://www.youtube.com/watch?v=IdY1fBgZiZ4" TargetMode="External"/><Relationship Id="rId61"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tI-5uv4wryI" TargetMode="External"/><Relationship Id="rId30" Type="http://schemas.openxmlformats.org/officeDocument/2006/relationships/hyperlink" Target="https://www.youtube.com/watch?v=3ld8DQkC6po" TargetMode="External"/><Relationship Id="rId35" Type="http://schemas.openxmlformats.org/officeDocument/2006/relationships/hyperlink" Target="https://www.youtube.com/watch?v=pK1rY3paVE4" TargetMode="External"/><Relationship Id="rId43" Type="http://schemas.openxmlformats.org/officeDocument/2006/relationships/hyperlink" Target="https://www.youtube.com/watch?v=d0PioYGdLI4" TargetMode="External"/><Relationship Id="rId48" Type="http://schemas.openxmlformats.org/officeDocument/2006/relationships/hyperlink" Target="https://www.youtube.com/watch?v=EhK8PDUQUfI" TargetMode="External"/><Relationship Id="rId56" Type="http://schemas.openxmlformats.org/officeDocument/2006/relationships/hyperlink" Target="https://www.youtube.com/watch?v=OnsMHB5WtRU" TargetMode="External"/><Relationship Id="rId64" Type="http://schemas.openxmlformats.org/officeDocument/2006/relationships/hyperlink" Target="https://www.youtube.com/watch?v=iCifleyKJMg"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22OZdZYeFe0"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5w4W-lVZR5c" TargetMode="External"/><Relationship Id="rId38" Type="http://schemas.openxmlformats.org/officeDocument/2006/relationships/hyperlink" Target="https://www.youtube.com/watch?v=S43YhQ_eGTw" TargetMode="External"/><Relationship Id="rId46" Type="http://schemas.openxmlformats.org/officeDocument/2006/relationships/hyperlink" Target="https://www.youtube.com/watch?v=IXzo_5w34SI" TargetMode="External"/><Relationship Id="rId59" Type="http://schemas.openxmlformats.org/officeDocument/2006/relationships/hyperlink" Target="https://www.youtube.com/watch?v=EfK-WX2pa8c"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5XrSIDhuipQ" TargetMode="External"/><Relationship Id="rId54" Type="http://schemas.openxmlformats.org/officeDocument/2006/relationships/hyperlink" Target="https://www.youtube.com/watch?v=dyDWqLGbTKc" TargetMode="External"/><Relationship Id="rId62" Type="http://schemas.openxmlformats.org/officeDocument/2006/relationships/hyperlink" Target="https://www.youtube.com/watch?v=wBMDDQAR32s"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QKyEdDFnhy0" TargetMode="External"/><Relationship Id="rId49" Type="http://schemas.openxmlformats.org/officeDocument/2006/relationships/hyperlink" Target="https://www.youtube.com/watch?v=usNsCeOV4GM" TargetMode="External"/><Relationship Id="rId57" Type="http://schemas.openxmlformats.org/officeDocument/2006/relationships/hyperlink" Target="https://www.youtube.com/watch?v=x5QvbnwMOkA"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FOhieo7O8-s" TargetMode="External"/><Relationship Id="rId44" Type="http://schemas.openxmlformats.org/officeDocument/2006/relationships/hyperlink" Target="https://www.youtube.com/watch?v=EhEuaSa4z_I" TargetMode="External"/><Relationship Id="rId52" Type="http://schemas.openxmlformats.org/officeDocument/2006/relationships/hyperlink" Target="https://www.youtube.com/watch?v=3mbvWn1EY6g" TargetMode="External"/><Relationship Id="rId60" Type="http://schemas.openxmlformats.org/officeDocument/2006/relationships/hyperlink" Target="https://www.youtube.com/watch?v=haPblSaNn7o" TargetMode="External"/><Relationship Id="rId65" Type="http://schemas.openxmlformats.org/officeDocument/2006/relationships/hyperlink" Target="https://www.youtube.com/watch?v=mWB7ysFdtTI"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X_F46iwWOwo"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W250"/>
  <sheetViews>
    <sheetView topLeftCell="A160" workbookViewId="0">
      <pane xSplit="1" topLeftCell="B1" activePane="topRight" state="frozen"/>
      <selection pane="topRight" activeCell="B171" sqref="B171"/>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9" width="34.28515625" customWidth="1"/>
    <col min="20" max="21" width="23.28515625" customWidth="1"/>
    <col min="22" max="23" width="34.28515625" customWidth="1"/>
    <col min="24" max="24" width="12.140625" bestFit="1" customWidth="1"/>
    <col min="25" max="25" width="12.140625" customWidth="1"/>
    <col min="26" max="26" width="18.140625" bestFit="1" customWidth="1"/>
    <col min="27" max="28" width="18.140625" customWidth="1"/>
    <col min="29" max="29" width="27.140625" bestFit="1" customWidth="1"/>
    <col min="30" max="30" width="27.140625" customWidth="1"/>
    <col min="31" max="37" width="34.28515625" customWidth="1"/>
    <col min="38" max="38" width="23.28515625" bestFit="1" customWidth="1"/>
    <col min="39" max="43" width="23.28515625" customWidth="1"/>
    <col min="44" max="44" width="10.28515625" bestFit="1" customWidth="1"/>
    <col min="45" max="56" width="23.28515625" customWidth="1"/>
    <col min="57" max="57" width="15.7109375" bestFit="1" customWidth="1"/>
    <col min="58" max="58" width="17.5703125" bestFit="1" customWidth="1"/>
    <col min="59" max="59" width="17" bestFit="1" customWidth="1"/>
    <col min="60" max="60" width="14.5703125" bestFit="1" customWidth="1"/>
    <col min="61" max="61" width="14.28515625" bestFit="1" customWidth="1"/>
    <col min="62" max="62" width="16.28515625" bestFit="1" customWidth="1"/>
    <col min="63" max="63" width="16.85546875" bestFit="1" customWidth="1"/>
    <col min="64" max="64" width="15.85546875" bestFit="1" customWidth="1"/>
    <col min="65" max="65" width="15.85546875" customWidth="1"/>
    <col min="66" max="66" width="14.42578125" bestFit="1" customWidth="1"/>
    <col min="67" max="71" width="14.42578125" customWidth="1"/>
    <col min="72" max="72" width="16.42578125" bestFit="1" customWidth="1"/>
    <col min="73" max="79" width="14.42578125" customWidth="1"/>
    <col min="80" max="80" width="18.5703125" bestFit="1" customWidth="1"/>
    <col min="81" max="81" width="18.5703125" customWidth="1"/>
    <col min="82" max="82" width="18.5703125" bestFit="1" customWidth="1"/>
    <col min="83" max="83" width="18.5703125" customWidth="1"/>
    <col min="84" max="85" width="13.7109375" customWidth="1"/>
    <col min="86" max="86" width="13.5703125" bestFit="1" customWidth="1"/>
    <col min="87" max="87" width="13.5703125" customWidth="1"/>
    <col min="88" max="88" width="17.28515625" bestFit="1" customWidth="1"/>
    <col min="89" max="89" width="17.5703125" bestFit="1" customWidth="1"/>
    <col min="90" max="90" width="13.7109375" bestFit="1" customWidth="1"/>
    <col min="91" max="91" width="16.85546875" bestFit="1" customWidth="1"/>
    <col min="92" max="95" width="16.85546875" customWidth="1"/>
    <col min="96" max="103" width="18.140625" customWidth="1"/>
    <col min="104" max="104" width="24.85546875" bestFit="1" customWidth="1"/>
    <col min="105" max="105" width="23.28515625" customWidth="1"/>
    <col min="106" max="106" width="21" bestFit="1" customWidth="1"/>
    <col min="107" max="107" width="21" customWidth="1"/>
    <col min="108" max="112" width="24.85546875" customWidth="1"/>
    <col min="113" max="129" width="14.28515625" customWidth="1"/>
    <col min="130" max="130" width="22.5703125" bestFit="1" customWidth="1"/>
    <col min="131" max="131" width="14.28515625" bestFit="1" customWidth="1"/>
    <col min="139" max="139" width="14.28515625" bestFit="1" customWidth="1"/>
    <col min="140" max="140" width="20" bestFit="1" customWidth="1"/>
    <col min="141" max="141" width="12.7109375" bestFit="1" customWidth="1"/>
    <col min="142" max="142" width="13.85546875" bestFit="1" customWidth="1"/>
    <col min="143" max="147" width="13.85546875" customWidth="1"/>
    <col min="152" max="152" width="14.42578125" bestFit="1" customWidth="1"/>
  </cols>
  <sheetData>
    <row r="1" spans="1:153" s="9" customFormat="1" x14ac:dyDescent="0.25">
      <c r="A1" s="7" t="s">
        <v>72</v>
      </c>
      <c r="B1" s="7" t="s">
        <v>48</v>
      </c>
      <c r="C1" s="7" t="s">
        <v>61</v>
      </c>
      <c r="D1" s="7" t="s">
        <v>6</v>
      </c>
      <c r="E1" s="7" t="s">
        <v>64</v>
      </c>
      <c r="F1" s="7" t="s">
        <v>2</v>
      </c>
      <c r="G1" s="7" t="s">
        <v>3</v>
      </c>
      <c r="H1" s="7" t="s">
        <v>37</v>
      </c>
      <c r="I1" s="7" t="s">
        <v>74</v>
      </c>
      <c r="J1" s="7" t="s">
        <v>75</v>
      </c>
      <c r="K1" s="7" t="s">
        <v>76</v>
      </c>
      <c r="L1" s="7" t="s">
        <v>77</v>
      </c>
      <c r="M1" s="7" t="s">
        <v>281</v>
      </c>
      <c r="N1" s="7" t="s">
        <v>78</v>
      </c>
      <c r="O1" s="7" t="s">
        <v>895</v>
      </c>
      <c r="P1" s="7" t="s">
        <v>697</v>
      </c>
      <c r="Q1" s="7" t="s">
        <v>79</v>
      </c>
      <c r="R1" s="7" t="s">
        <v>229</v>
      </c>
      <c r="S1" s="7" t="s">
        <v>265</v>
      </c>
      <c r="T1" s="7" t="s">
        <v>570</v>
      </c>
      <c r="U1" s="7" t="s">
        <v>873</v>
      </c>
      <c r="V1" s="7" t="s">
        <v>623</v>
      </c>
      <c r="W1" s="7" t="s">
        <v>80</v>
      </c>
      <c r="X1" s="7" t="s">
        <v>81</v>
      </c>
      <c r="Y1" s="7" t="s">
        <v>195</v>
      </c>
      <c r="Z1" s="7" t="s">
        <v>196</v>
      </c>
      <c r="AA1" s="7" t="s">
        <v>831</v>
      </c>
      <c r="AB1" s="7" t="s">
        <v>830</v>
      </c>
      <c r="AC1" s="7" t="s">
        <v>909</v>
      </c>
      <c r="AD1" s="7" t="s">
        <v>910</v>
      </c>
      <c r="AE1" s="7" t="s">
        <v>82</v>
      </c>
      <c r="AF1" s="7" t="s">
        <v>83</v>
      </c>
      <c r="AG1" s="7" t="s">
        <v>249</v>
      </c>
      <c r="AH1" s="7" t="s">
        <v>84</v>
      </c>
      <c r="AI1" s="7" t="s">
        <v>85</v>
      </c>
      <c r="AJ1" s="7" t="s">
        <v>233</v>
      </c>
      <c r="AK1" s="7" t="s">
        <v>86</v>
      </c>
      <c r="AL1" s="7" t="s">
        <v>87</v>
      </c>
      <c r="AM1" s="7" t="s">
        <v>554</v>
      </c>
      <c r="AN1" s="7" t="s">
        <v>223</v>
      </c>
      <c r="AO1" s="7" t="s">
        <v>88</v>
      </c>
      <c r="AP1" s="7" t="s">
        <v>263</v>
      </c>
      <c r="AQ1" s="7" t="s">
        <v>90</v>
      </c>
      <c r="AR1" s="7" t="s">
        <v>91</v>
      </c>
      <c r="AS1" s="7" t="s">
        <v>92</v>
      </c>
      <c r="AT1" s="7" t="s">
        <v>153</v>
      </c>
      <c r="AU1" s="7" t="s">
        <v>200</v>
      </c>
      <c r="AV1" s="7" t="s">
        <v>862</v>
      </c>
      <c r="AW1" s="7" t="s">
        <v>209</v>
      </c>
      <c r="AX1" s="7" t="s">
        <v>750</v>
      </c>
      <c r="AY1" s="7" t="s">
        <v>230</v>
      </c>
      <c r="AZ1" s="7" t="s">
        <v>93</v>
      </c>
      <c r="BA1" s="7" t="s">
        <v>261</v>
      </c>
      <c r="BB1" s="7" t="s">
        <v>301</v>
      </c>
      <c r="BC1" s="7" t="s">
        <v>94</v>
      </c>
      <c r="BD1" s="7" t="s">
        <v>89</v>
      </c>
      <c r="BE1" s="7" t="s">
        <v>100</v>
      </c>
      <c r="BF1" s="7" t="s">
        <v>101</v>
      </c>
      <c r="BG1" s="8" t="s">
        <v>102</v>
      </c>
      <c r="BH1" s="8" t="s">
        <v>103</v>
      </c>
      <c r="BI1" s="8" t="s">
        <v>104</v>
      </c>
      <c r="BJ1" s="8" t="s">
        <v>105</v>
      </c>
      <c r="BK1" s="8" t="s">
        <v>106</v>
      </c>
      <c r="BL1" s="8" t="s">
        <v>243</v>
      </c>
      <c r="BM1" s="8" t="s">
        <v>298</v>
      </c>
      <c r="BN1" s="8" t="s">
        <v>107</v>
      </c>
      <c r="BO1" s="8" t="s">
        <v>312</v>
      </c>
      <c r="BP1" s="8" t="s">
        <v>108</v>
      </c>
      <c r="BQ1" s="8" t="s">
        <v>210</v>
      </c>
      <c r="BR1" s="8" t="s">
        <v>109</v>
      </c>
      <c r="BS1" s="8" t="s">
        <v>110</v>
      </c>
      <c r="BT1" s="8" t="s">
        <v>111</v>
      </c>
      <c r="BU1" s="8" t="s">
        <v>112</v>
      </c>
      <c r="BV1" s="8" t="s">
        <v>282</v>
      </c>
      <c r="BW1" s="8" t="s">
        <v>305</v>
      </c>
      <c r="BX1" s="8" t="s">
        <v>284</v>
      </c>
      <c r="BY1" s="8" t="s">
        <v>113</v>
      </c>
      <c r="BZ1" s="8" t="s">
        <v>114</v>
      </c>
      <c r="CA1" s="8" t="s">
        <v>152</v>
      </c>
      <c r="CB1" s="8" t="s">
        <v>802</v>
      </c>
      <c r="CC1" s="8" t="s">
        <v>823</v>
      </c>
      <c r="CD1" s="7" t="s">
        <v>280</v>
      </c>
      <c r="CE1" s="7" t="s">
        <v>579</v>
      </c>
      <c r="CF1" s="8" t="s">
        <v>198</v>
      </c>
      <c r="CG1" s="8" t="s">
        <v>121</v>
      </c>
      <c r="CH1" s="8" t="s">
        <v>115</v>
      </c>
      <c r="CI1" s="8" t="s">
        <v>116</v>
      </c>
      <c r="CJ1" s="8" t="s">
        <v>117</v>
      </c>
      <c r="CK1" s="8" t="s">
        <v>118</v>
      </c>
      <c r="CL1" s="8" t="s">
        <v>119</v>
      </c>
      <c r="CM1" s="8" t="s">
        <v>120</v>
      </c>
      <c r="CN1" s="8" t="s">
        <v>430</v>
      </c>
      <c r="CO1" s="8" t="s">
        <v>215</v>
      </c>
      <c r="CP1" s="8" t="s">
        <v>706</v>
      </c>
      <c r="CQ1" s="8" t="s">
        <v>519</v>
      </c>
      <c r="CR1" s="7" t="s">
        <v>95</v>
      </c>
      <c r="CS1" s="7" t="s">
        <v>96</v>
      </c>
      <c r="CT1" s="7" t="s">
        <v>97</v>
      </c>
      <c r="CU1" s="7" t="s">
        <v>530</v>
      </c>
      <c r="CV1" s="7" t="s">
        <v>387</v>
      </c>
      <c r="CW1" s="7" t="s">
        <v>98</v>
      </c>
      <c r="CX1" s="7" t="s">
        <v>490</v>
      </c>
      <c r="CY1" s="7" t="s">
        <v>99</v>
      </c>
      <c r="CZ1" s="8" t="s">
        <v>122</v>
      </c>
      <c r="DA1" s="7" t="s">
        <v>214</v>
      </c>
      <c r="DB1" s="7" t="s">
        <v>154</v>
      </c>
      <c r="DC1" s="8" t="s">
        <v>624</v>
      </c>
      <c r="DD1" s="18" t="s">
        <v>672</v>
      </c>
      <c r="DE1" s="18" t="s">
        <v>675</v>
      </c>
      <c r="DF1" s="18" t="s">
        <v>671</v>
      </c>
      <c r="DG1" s="18" t="s">
        <v>850</v>
      </c>
      <c r="DH1" s="18" t="s">
        <v>851</v>
      </c>
      <c r="DI1" s="15" t="s">
        <v>136</v>
      </c>
      <c r="DJ1" s="15" t="s">
        <v>135</v>
      </c>
      <c r="DK1" s="15" t="s">
        <v>677</v>
      </c>
      <c r="DL1" s="15" t="s">
        <v>572</v>
      </c>
      <c r="DM1" s="15" t="s">
        <v>573</v>
      </c>
      <c r="DN1" s="15" t="s">
        <v>704</v>
      </c>
      <c r="DO1" s="15" t="s">
        <v>685</v>
      </c>
      <c r="DP1" s="15" t="s">
        <v>610</v>
      </c>
      <c r="DQ1" s="15" t="s">
        <v>820</v>
      </c>
      <c r="DR1" s="15" t="s">
        <v>611</v>
      </c>
      <c r="DS1" s="15" t="s">
        <v>528</v>
      </c>
      <c r="DT1" s="15" t="s">
        <v>141</v>
      </c>
      <c r="DU1" s="15" t="s">
        <v>237</v>
      </c>
      <c r="DV1" s="15" t="s">
        <v>612</v>
      </c>
      <c r="DW1" s="15" t="s">
        <v>574</v>
      </c>
      <c r="DX1" s="15" t="s">
        <v>816</v>
      </c>
      <c r="DY1" s="15" t="s">
        <v>609</v>
      </c>
      <c r="DZ1" s="15" t="s">
        <v>571</v>
      </c>
      <c r="EA1" s="15" t="s">
        <v>560</v>
      </c>
      <c r="EB1" s="21" t="s">
        <v>563</v>
      </c>
      <c r="EC1" s="21" t="s">
        <v>853</v>
      </c>
      <c r="ED1" s="25" t="s">
        <v>818</v>
      </c>
      <c r="EE1" s="12" t="s">
        <v>852</v>
      </c>
      <c r="EF1" s="14" t="s">
        <v>614</v>
      </c>
      <c r="EG1" s="12" t="s">
        <v>234</v>
      </c>
      <c r="EH1" s="12" t="s">
        <v>822</v>
      </c>
      <c r="EI1" s="12" t="s">
        <v>286</v>
      </c>
      <c r="EJ1" s="16" t="s">
        <v>123</v>
      </c>
      <c r="EK1" s="17" t="s">
        <v>124</v>
      </c>
      <c r="EL1" s="17" t="s">
        <v>125</v>
      </c>
      <c r="EM1" s="17" t="s">
        <v>839</v>
      </c>
      <c r="EN1" s="17" t="s">
        <v>825</v>
      </c>
      <c r="EO1" s="17" t="s">
        <v>562</v>
      </c>
      <c r="EP1" s="19" t="s">
        <v>615</v>
      </c>
      <c r="EQ1" s="19" t="s">
        <v>625</v>
      </c>
      <c r="ER1" s="19" t="s">
        <v>126</v>
      </c>
      <c r="ES1" s="19" t="s">
        <v>127</v>
      </c>
      <c r="ET1" s="19" t="s">
        <v>128</v>
      </c>
      <c r="EU1" s="20" t="s">
        <v>231</v>
      </c>
      <c r="EV1" s="20" t="s">
        <v>854</v>
      </c>
      <c r="EW1" s="20" t="s">
        <v>232</v>
      </c>
    </row>
    <row r="2" spans="1:153" x14ac:dyDescent="0.25">
      <c r="A2" s="1" t="s">
        <v>276</v>
      </c>
      <c r="B2" s="1" t="s">
        <v>278</v>
      </c>
      <c r="C2" s="2" t="s">
        <v>63</v>
      </c>
      <c r="D2" s="1">
        <v>1500</v>
      </c>
      <c r="E2" s="1">
        <v>300</v>
      </c>
      <c r="F2" s="2" t="s">
        <v>59</v>
      </c>
      <c r="G2" s="1">
        <v>1200</v>
      </c>
      <c r="H2" s="2">
        <f t="shared" ref="H2:H33" si="0">SUM(I2:DF2)</f>
        <v>1110</v>
      </c>
      <c r="I2" s="1"/>
      <c r="J2" s="1">
        <v>60</v>
      </c>
      <c r="K2" s="1">
        <v>60</v>
      </c>
      <c r="L2" s="1"/>
      <c r="M2" s="1"/>
      <c r="N2" s="1"/>
      <c r="O2" s="1"/>
      <c r="P2" s="1"/>
      <c r="Q2" s="1"/>
      <c r="R2" s="1"/>
      <c r="S2" s="1"/>
      <c r="T2" s="1"/>
      <c r="U2" s="1"/>
      <c r="V2" s="1"/>
      <c r="W2" s="1"/>
      <c r="X2" s="1"/>
      <c r="Y2" s="1"/>
      <c r="Z2" s="1">
        <v>300</v>
      </c>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v>600</v>
      </c>
      <c r="BG2" s="1"/>
      <c r="BH2" s="1"/>
      <c r="BI2" s="1"/>
      <c r="BJ2" s="1"/>
      <c r="BK2" s="1"/>
      <c r="BL2" s="1"/>
      <c r="BM2" s="1"/>
      <c r="BN2" s="1"/>
      <c r="BO2" s="1"/>
      <c r="BP2" s="1"/>
      <c r="BQ2" s="1"/>
      <c r="BR2" s="1"/>
      <c r="BS2" s="1"/>
      <c r="BT2" s="1"/>
      <c r="BU2" s="1"/>
      <c r="BV2" s="1"/>
      <c r="BW2" s="1"/>
      <c r="BX2" s="1"/>
      <c r="BY2" s="1"/>
      <c r="BZ2" s="1"/>
      <c r="CA2" s="1"/>
      <c r="CB2" s="1"/>
      <c r="CC2" s="1"/>
      <c r="CD2" s="2"/>
      <c r="CE2" s="2"/>
      <c r="CF2" s="1"/>
      <c r="CG2" s="1"/>
      <c r="CH2" s="1">
        <v>90</v>
      </c>
      <c r="CI2" s="1"/>
      <c r="CJ2" s="1"/>
      <c r="CK2" s="1"/>
      <c r="CL2" s="1"/>
      <c r="CM2" s="1"/>
      <c r="CN2" s="1"/>
      <c r="CO2" s="1"/>
      <c r="CP2" s="1"/>
      <c r="CQ2" s="1"/>
      <c r="CR2" s="1"/>
      <c r="CS2" s="1"/>
      <c r="CT2" s="1"/>
      <c r="CU2" s="1"/>
      <c r="CV2" s="1"/>
      <c r="CW2" s="1"/>
      <c r="CX2" s="1"/>
      <c r="CY2" s="1"/>
      <c r="CZ2" s="1"/>
      <c r="DA2" s="1"/>
      <c r="DB2" s="1"/>
      <c r="DC2" s="1"/>
      <c r="DD2" s="1"/>
      <c r="DE2" s="1"/>
      <c r="DF2" s="1"/>
      <c r="DG2" s="1"/>
      <c r="DH2" s="1"/>
      <c r="DI2" s="2"/>
      <c r="DJ2" s="2"/>
      <c r="DK2" s="2"/>
      <c r="DL2" s="2"/>
      <c r="DM2" s="2"/>
      <c r="DN2" s="2"/>
      <c r="DO2" s="2"/>
      <c r="DP2" s="2"/>
      <c r="DQ2" s="2"/>
      <c r="DR2" s="2"/>
      <c r="DS2" s="2"/>
      <c r="DT2" s="2"/>
      <c r="DU2" s="2"/>
      <c r="DV2" s="2"/>
      <c r="DW2" s="2"/>
      <c r="DX2" s="2"/>
      <c r="DY2" s="2"/>
      <c r="DZ2" s="2"/>
      <c r="EA2" s="2"/>
      <c r="EB2" s="2"/>
      <c r="EC2" s="2"/>
      <c r="ED2" s="2"/>
      <c r="EE2" s="2"/>
      <c r="EF2" s="2"/>
      <c r="EG2" s="2"/>
      <c r="EH2" s="2"/>
      <c r="EI2" s="2"/>
      <c r="EJ2" s="1"/>
      <c r="EK2" s="1"/>
      <c r="EL2" s="1"/>
      <c r="EM2" s="1"/>
      <c r="EN2" s="1"/>
      <c r="EO2" s="1"/>
      <c r="EP2" s="1"/>
      <c r="EQ2" s="1"/>
      <c r="ER2" s="1"/>
      <c r="ES2" s="1"/>
      <c r="ET2" s="1"/>
      <c r="EU2" s="2"/>
      <c r="EV2" s="2"/>
      <c r="EW2" s="2"/>
    </row>
    <row r="3" spans="1:153" x14ac:dyDescent="0.25">
      <c r="A3" s="1" t="s">
        <v>226</v>
      </c>
      <c r="B3" s="1" t="s">
        <v>55</v>
      </c>
      <c r="C3" s="2" t="s">
        <v>62</v>
      </c>
      <c r="D3" s="2">
        <v>200</v>
      </c>
      <c r="E3" s="2"/>
      <c r="F3" s="2" t="s">
        <v>60</v>
      </c>
      <c r="G3" s="2"/>
      <c r="H3" s="2">
        <f t="shared" si="0"/>
        <v>90</v>
      </c>
      <c r="I3" s="1"/>
      <c r="J3" s="1"/>
      <c r="K3" s="1"/>
      <c r="L3" s="1"/>
      <c r="M3" s="1"/>
      <c r="N3" s="1"/>
      <c r="O3" s="1"/>
      <c r="P3" s="1"/>
      <c r="Q3" s="1"/>
      <c r="R3" s="1">
        <v>30</v>
      </c>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v>30</v>
      </c>
      <c r="AZ3" s="1"/>
      <c r="BA3" s="1"/>
      <c r="BB3" s="1"/>
      <c r="BC3" s="1"/>
      <c r="BD3" s="1"/>
      <c r="BE3" s="1"/>
      <c r="BF3" s="1"/>
      <c r="BG3" s="1"/>
      <c r="BH3" s="1"/>
      <c r="BI3" s="1"/>
      <c r="BJ3" s="1"/>
      <c r="BK3" s="1"/>
      <c r="BL3" s="1"/>
      <c r="BM3" s="1"/>
      <c r="BN3" s="1"/>
      <c r="BO3" s="1"/>
      <c r="BP3" s="1"/>
      <c r="BQ3" s="1"/>
      <c r="BR3" s="1"/>
      <c r="BS3" s="1"/>
      <c r="BT3" s="1"/>
      <c r="BU3" s="1"/>
      <c r="BV3" s="1"/>
      <c r="BW3" s="1"/>
      <c r="BX3" s="1"/>
      <c r="BY3" s="1"/>
      <c r="BZ3" s="1">
        <v>30</v>
      </c>
      <c r="CA3" s="1"/>
      <c r="CB3" s="1"/>
      <c r="CC3" s="1"/>
      <c r="CD3" s="2"/>
      <c r="CE3" s="2"/>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2"/>
      <c r="DJ3" s="2"/>
      <c r="DK3" s="2"/>
      <c r="DL3" s="2"/>
      <c r="DM3" s="2"/>
      <c r="DN3" s="2"/>
      <c r="DO3" s="2"/>
      <c r="DP3" s="2"/>
      <c r="DQ3" s="2"/>
      <c r="DR3" s="2"/>
      <c r="DS3" s="2"/>
      <c r="DT3" s="2"/>
      <c r="DU3" s="2"/>
      <c r="DV3" s="2"/>
      <c r="DW3" s="2"/>
      <c r="DX3" s="2"/>
      <c r="DY3" s="2"/>
      <c r="DZ3" s="2"/>
      <c r="EA3" s="2"/>
      <c r="EB3" s="2"/>
      <c r="EC3" s="2"/>
      <c r="ED3" s="2"/>
      <c r="EE3" s="2"/>
      <c r="EF3" s="2"/>
      <c r="EG3" s="2"/>
      <c r="EH3" s="2"/>
      <c r="EI3" s="2"/>
      <c r="EJ3" s="1"/>
      <c r="EK3" s="1"/>
      <c r="EL3" s="1"/>
      <c r="EM3" s="1"/>
      <c r="EN3" s="1"/>
      <c r="EO3" s="1"/>
      <c r="EP3" s="1"/>
      <c r="EQ3" s="1"/>
      <c r="ER3" s="1"/>
      <c r="ES3" s="1"/>
      <c r="ET3" s="1"/>
      <c r="EU3" s="2">
        <v>1</v>
      </c>
      <c r="EV3" s="2"/>
      <c r="EW3" s="2"/>
    </row>
    <row r="4" spans="1:153"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c r="X4" s="1"/>
      <c r="Y4" s="1">
        <v>90</v>
      </c>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v>15</v>
      </c>
      <c r="BF4" s="1"/>
      <c r="BG4" s="1"/>
      <c r="BH4" s="1"/>
      <c r="BI4" s="1"/>
      <c r="BJ4" s="1"/>
      <c r="BK4" s="1"/>
      <c r="BL4" s="1"/>
      <c r="BM4" s="1"/>
      <c r="BN4" s="1"/>
      <c r="BO4" s="1"/>
      <c r="BP4" s="1"/>
      <c r="BQ4" s="1"/>
      <c r="BR4" s="1">
        <v>90</v>
      </c>
      <c r="BS4" s="1"/>
      <c r="BT4" s="1"/>
      <c r="BU4" s="1"/>
      <c r="BV4" s="1"/>
      <c r="BW4" s="1"/>
      <c r="BX4" s="1"/>
      <c r="BY4" s="1"/>
      <c r="BZ4" s="1"/>
      <c r="CA4" s="1"/>
      <c r="CB4" s="1"/>
      <c r="CC4" s="1"/>
      <c r="CD4" s="2"/>
      <c r="CE4" s="2"/>
      <c r="CF4" s="1"/>
      <c r="CG4" s="1"/>
      <c r="CH4" s="1"/>
      <c r="CI4" s="1"/>
      <c r="CJ4" s="1"/>
      <c r="CK4" s="1"/>
      <c r="CL4" s="1"/>
      <c r="CM4" s="1"/>
      <c r="CN4" s="1"/>
      <c r="CO4" s="1"/>
      <c r="CP4" s="1"/>
      <c r="CQ4" s="1"/>
      <c r="CR4" s="1"/>
      <c r="CS4" s="1"/>
      <c r="CT4" s="1"/>
      <c r="CU4" s="1"/>
      <c r="CV4" s="1"/>
      <c r="CW4" s="1">
        <v>45</v>
      </c>
      <c r="CX4" s="1"/>
      <c r="CY4" s="1"/>
      <c r="CZ4" s="1"/>
      <c r="DA4" s="1"/>
      <c r="DB4" s="1"/>
      <c r="DC4" s="1"/>
      <c r="DD4" s="1"/>
      <c r="DE4" s="1"/>
      <c r="DF4" s="1"/>
      <c r="DG4" s="1"/>
      <c r="DH4" s="1"/>
      <c r="DI4" s="2"/>
      <c r="DJ4" s="2"/>
      <c r="DK4" s="2"/>
      <c r="DL4" s="2"/>
      <c r="DM4" s="2"/>
      <c r="DN4" s="2"/>
      <c r="DO4" s="2"/>
      <c r="DP4" s="2"/>
      <c r="DQ4" s="2"/>
      <c r="DR4" s="2"/>
      <c r="DS4" s="2"/>
      <c r="DT4" s="2"/>
      <c r="DU4" s="2"/>
      <c r="DV4" s="2"/>
      <c r="DW4" s="2"/>
      <c r="DX4" s="2"/>
      <c r="DY4" s="2"/>
      <c r="DZ4" s="2"/>
      <c r="EA4" s="2"/>
      <c r="EB4" s="2"/>
      <c r="EC4" s="2"/>
      <c r="ED4" s="2"/>
      <c r="EE4" s="2"/>
      <c r="EF4" s="2"/>
      <c r="EG4" s="2"/>
      <c r="EH4" s="2"/>
      <c r="EI4" s="2"/>
      <c r="EJ4" s="1"/>
      <c r="EK4" s="1"/>
      <c r="EL4" s="1"/>
      <c r="EM4" s="1"/>
      <c r="EN4" s="1"/>
      <c r="EO4" s="1"/>
      <c r="EP4" s="1"/>
      <c r="EQ4" s="1"/>
      <c r="ER4" s="1"/>
      <c r="ES4" s="1"/>
      <c r="ET4" s="1"/>
      <c r="EU4" s="2"/>
      <c r="EV4" s="2"/>
      <c r="EW4" s="2"/>
    </row>
    <row r="5" spans="1:153"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v>30</v>
      </c>
      <c r="AZ5" s="1"/>
      <c r="BA5" s="1"/>
      <c r="BB5" s="1"/>
      <c r="BC5" s="1"/>
      <c r="BD5" s="1"/>
      <c r="BE5" s="1"/>
      <c r="BF5" s="1"/>
      <c r="BG5" s="1"/>
      <c r="BH5" s="1"/>
      <c r="BI5" s="1"/>
      <c r="BJ5" s="1"/>
      <c r="BK5" s="1"/>
      <c r="BL5" s="1"/>
      <c r="BM5" s="1"/>
      <c r="BN5" s="1"/>
      <c r="BO5" s="1"/>
      <c r="BP5" s="1"/>
      <c r="BQ5" s="1"/>
      <c r="BR5" s="1"/>
      <c r="BS5" s="1"/>
      <c r="BT5" s="1"/>
      <c r="BU5" s="1"/>
      <c r="BV5" s="1"/>
      <c r="BW5" s="1"/>
      <c r="BX5" s="1"/>
      <c r="BY5" s="1"/>
      <c r="BZ5" s="1">
        <v>30</v>
      </c>
      <c r="CA5" s="1"/>
      <c r="CB5" s="1"/>
      <c r="CC5" s="1"/>
      <c r="CD5" s="2"/>
      <c r="CE5" s="2"/>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2"/>
      <c r="DJ5" s="2"/>
      <c r="DK5" s="2"/>
      <c r="DL5" s="2"/>
      <c r="DM5" s="2"/>
      <c r="DN5" s="2"/>
      <c r="DO5" s="2"/>
      <c r="DP5" s="2"/>
      <c r="DQ5" s="2"/>
      <c r="DR5" s="2"/>
      <c r="DS5" s="2"/>
      <c r="DT5" s="2"/>
      <c r="DU5" s="2"/>
      <c r="DV5" s="2"/>
      <c r="DW5" s="2"/>
      <c r="DX5" s="2"/>
      <c r="DY5" s="2"/>
      <c r="DZ5" s="2"/>
      <c r="EA5" s="2"/>
      <c r="EB5" s="2"/>
      <c r="EC5" s="2"/>
      <c r="ED5" s="2"/>
      <c r="EE5" s="2"/>
      <c r="EF5" s="2"/>
      <c r="EG5" s="2"/>
      <c r="EH5" s="2"/>
      <c r="EI5" s="2"/>
      <c r="EJ5" s="1"/>
      <c r="EK5" s="1"/>
      <c r="EL5" s="1"/>
      <c r="EM5" s="1"/>
      <c r="EN5" s="1"/>
      <c r="EO5" s="1"/>
      <c r="EP5" s="1"/>
      <c r="EQ5" s="1"/>
      <c r="ER5" s="1"/>
      <c r="ES5" s="1"/>
      <c r="ET5" s="1"/>
      <c r="EU5" s="2"/>
      <c r="EV5" s="2"/>
      <c r="EW5" s="2">
        <v>1</v>
      </c>
    </row>
    <row r="6" spans="1:153"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c r="AS6" s="2">
        <v>30</v>
      </c>
      <c r="AT6" s="2"/>
      <c r="AU6" s="2"/>
      <c r="AV6" s="2"/>
      <c r="AW6" s="2"/>
      <c r="AX6" s="2"/>
      <c r="AY6" s="2"/>
      <c r="AZ6" s="2"/>
      <c r="BA6" s="2"/>
      <c r="BB6" s="2"/>
      <c r="BC6" s="2"/>
      <c r="BD6" s="2"/>
      <c r="BE6" s="2">
        <v>30</v>
      </c>
      <c r="BF6" s="2"/>
      <c r="BG6" s="2"/>
      <c r="BH6" s="2"/>
      <c r="BI6" s="2"/>
      <c r="BJ6" s="2"/>
      <c r="BK6" s="2"/>
      <c r="BL6" s="2"/>
      <c r="BM6" s="2"/>
      <c r="BN6" s="2"/>
      <c r="BO6" s="2"/>
      <c r="BP6" s="2"/>
      <c r="BQ6" s="2"/>
      <c r="BR6" s="2"/>
      <c r="BS6" s="2"/>
      <c r="BT6" s="2"/>
      <c r="BU6" s="2"/>
      <c r="BV6" s="2"/>
      <c r="BW6" s="2"/>
      <c r="BX6" s="2"/>
      <c r="BY6" s="2"/>
      <c r="BZ6" s="2"/>
      <c r="CA6" s="2"/>
      <c r="CB6" s="2"/>
      <c r="CC6" s="2"/>
      <c r="CD6" s="2"/>
      <c r="CE6" s="2"/>
      <c r="CF6" s="2"/>
      <c r="CG6" s="2"/>
      <c r="CH6" s="2">
        <v>15</v>
      </c>
      <c r="CI6" s="2"/>
      <c r="CJ6" s="2"/>
      <c r="CK6" s="2"/>
      <c r="CL6" s="2"/>
      <c r="CM6" s="2"/>
      <c r="CN6" s="2"/>
      <c r="CO6" s="2"/>
      <c r="CP6" s="2"/>
      <c r="CQ6" s="2"/>
      <c r="CR6" s="2"/>
      <c r="CS6" s="2"/>
      <c r="CT6" s="2"/>
      <c r="CU6" s="2"/>
      <c r="CV6" s="2"/>
      <c r="CW6" s="2"/>
      <c r="CX6" s="2"/>
      <c r="CY6" s="2"/>
      <c r="CZ6" s="2">
        <v>15</v>
      </c>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v>1</v>
      </c>
      <c r="EK6" s="2"/>
      <c r="EL6" s="2"/>
      <c r="EM6" s="2"/>
      <c r="EN6" s="2"/>
      <c r="EO6" s="2"/>
      <c r="EP6" s="2"/>
      <c r="EQ6" s="2"/>
      <c r="ER6" s="2"/>
      <c r="ES6" s="2"/>
      <c r="ET6" s="2"/>
      <c r="EU6" s="2"/>
      <c r="EV6" s="2"/>
      <c r="EW6" s="2"/>
    </row>
    <row r="7" spans="1:153"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c r="Z7" s="2">
        <v>135</v>
      </c>
      <c r="AA7" s="2"/>
      <c r="AB7" s="2"/>
      <c r="AC7" s="2"/>
      <c r="AD7" s="2"/>
      <c r="AE7" s="2"/>
      <c r="AF7" s="2"/>
      <c r="AG7" s="2"/>
      <c r="AH7" s="2"/>
      <c r="AI7" s="2"/>
      <c r="AJ7" s="2"/>
      <c r="AK7" s="2"/>
      <c r="AL7" s="2"/>
      <c r="AM7" s="2"/>
      <c r="AN7" s="2"/>
      <c r="AO7" s="2"/>
      <c r="AP7" s="2"/>
      <c r="AQ7" s="2"/>
      <c r="AR7" s="2"/>
      <c r="AS7" s="2">
        <v>90</v>
      </c>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v>45</v>
      </c>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c r="EV7" s="2"/>
      <c r="EW7" s="2"/>
    </row>
    <row r="8" spans="1:153"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c r="AE8" s="2"/>
      <c r="AF8" s="2">
        <v>30</v>
      </c>
      <c r="AG8" s="2"/>
      <c r="AH8" s="2"/>
      <c r="AI8" s="2"/>
      <c r="AJ8" s="2"/>
      <c r="AK8" s="2">
        <v>30</v>
      </c>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c r="DB8" s="2">
        <v>30</v>
      </c>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c r="EV8" s="2"/>
      <c r="EW8" s="2"/>
    </row>
    <row r="9" spans="1:153"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c r="Z9" s="2">
        <v>100</v>
      </c>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v>30</v>
      </c>
      <c r="BF9" s="2"/>
      <c r="BG9" s="2">
        <v>60</v>
      </c>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c r="CK9" s="2"/>
      <c r="CL9" s="2">
        <v>30</v>
      </c>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c r="EV9" s="2"/>
      <c r="EW9" s="2"/>
    </row>
    <row r="10" spans="1:153" x14ac:dyDescent="0.25">
      <c r="A10" s="1" t="s">
        <v>578</v>
      </c>
      <c r="B10" s="1" t="s">
        <v>51</v>
      </c>
      <c r="C10" s="2" t="s">
        <v>736</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v>30</v>
      </c>
      <c r="BF10" s="1"/>
      <c r="BG10" s="1"/>
      <c r="BH10" s="1"/>
      <c r="BI10" s="1"/>
      <c r="BJ10" s="1"/>
      <c r="BK10" s="1"/>
      <c r="BL10" s="1"/>
      <c r="BM10" s="1"/>
      <c r="BN10" s="1"/>
      <c r="BO10" s="1"/>
      <c r="BP10" s="1"/>
      <c r="BQ10" s="1"/>
      <c r="BR10" s="1"/>
      <c r="BS10" s="1"/>
      <c r="BT10" s="1"/>
      <c r="BU10" s="1"/>
      <c r="BV10" s="1"/>
      <c r="BW10" s="1"/>
      <c r="BX10" s="1"/>
      <c r="BY10" s="1"/>
      <c r="BZ10" s="1"/>
      <c r="CA10" s="1"/>
      <c r="CB10" s="1"/>
      <c r="CC10" s="1"/>
      <c r="CD10" s="2"/>
      <c r="CE10" s="2">
        <v>15</v>
      </c>
      <c r="CF10" s="1"/>
      <c r="CG10" s="1"/>
      <c r="CH10" s="1">
        <v>30</v>
      </c>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2"/>
      <c r="DJ10" s="2"/>
      <c r="DK10" s="2"/>
      <c r="DL10" s="2">
        <v>5</v>
      </c>
      <c r="DM10" s="2"/>
      <c r="DN10" s="2"/>
      <c r="DO10" s="2"/>
      <c r="DP10" s="2"/>
      <c r="DQ10" s="2"/>
      <c r="DR10" s="2"/>
      <c r="DS10" s="2"/>
      <c r="DT10" s="2"/>
      <c r="DU10" s="2"/>
      <c r="DV10" s="2"/>
      <c r="DW10" s="2"/>
      <c r="DX10" s="2"/>
      <c r="DY10" s="2"/>
      <c r="DZ10" s="2"/>
      <c r="EA10" s="2"/>
      <c r="EB10" s="2"/>
      <c r="EC10" s="2"/>
      <c r="ED10" s="2"/>
      <c r="EE10" s="2"/>
      <c r="EF10" s="2"/>
      <c r="EG10" s="2"/>
      <c r="EH10" s="2"/>
      <c r="EI10" s="2"/>
      <c r="EJ10" s="1"/>
      <c r="EK10" s="1"/>
      <c r="EL10" s="1"/>
      <c r="EM10" s="1"/>
      <c r="EN10" s="1"/>
      <c r="EO10" s="1"/>
      <c r="EP10" s="1"/>
      <c r="EQ10" s="1"/>
      <c r="ER10" s="1"/>
      <c r="ES10" s="1"/>
      <c r="ET10" s="1"/>
      <c r="EU10" s="2"/>
      <c r="EV10" s="2"/>
      <c r="EW10" s="2"/>
    </row>
    <row r="11" spans="1:153"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c r="Z11" s="2">
        <v>135</v>
      </c>
      <c r="AA11" s="2"/>
      <c r="AB11" s="2"/>
      <c r="AC11" s="2"/>
      <c r="AD11" s="2"/>
      <c r="AE11" s="2"/>
      <c r="AF11" s="2"/>
      <c r="AG11" s="2"/>
      <c r="AH11" s="2"/>
      <c r="AI11" s="2">
        <v>90</v>
      </c>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A11" s="2"/>
      <c r="DB11" s="2">
        <v>45</v>
      </c>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c r="EV11" s="2"/>
      <c r="EW11" s="2"/>
    </row>
    <row r="12" spans="1:153" x14ac:dyDescent="0.25">
      <c r="A12" s="1" t="s">
        <v>556</v>
      </c>
      <c r="B12" s="1" t="s">
        <v>55</v>
      </c>
      <c r="C12" s="2" t="s">
        <v>736</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v>30</v>
      </c>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c r="CH12" s="2">
        <v>30</v>
      </c>
      <c r="CI12" s="2"/>
      <c r="CJ12" s="2"/>
      <c r="CK12" s="2"/>
      <c r="CL12" s="2"/>
      <c r="CM12" s="2"/>
      <c r="CN12" s="2"/>
      <c r="CO12" s="2"/>
      <c r="CP12" s="2"/>
      <c r="CQ12" s="2"/>
      <c r="CR12" s="2"/>
      <c r="CS12" s="2"/>
      <c r="CT12" s="2"/>
      <c r="CU12" s="2"/>
      <c r="CV12" s="2"/>
      <c r="CW12" s="2"/>
      <c r="CX12" s="2"/>
      <c r="CY12" s="2"/>
      <c r="CZ12" s="2">
        <v>15</v>
      </c>
      <c r="DA12" s="2"/>
      <c r="DB12" s="2"/>
      <c r="DC12" s="2"/>
      <c r="DD12" s="2"/>
      <c r="DE12" s="2"/>
      <c r="DF12" s="2"/>
      <c r="DG12" s="2"/>
      <c r="DH12" s="2"/>
      <c r="DI12" s="2"/>
      <c r="DJ12" s="2"/>
      <c r="DK12" s="2"/>
      <c r="DL12" s="2"/>
      <c r="DM12" s="2"/>
      <c r="DN12" s="2"/>
      <c r="DO12" s="2"/>
      <c r="DP12" s="2"/>
      <c r="DQ12" s="2"/>
      <c r="DR12" s="2"/>
      <c r="DS12" s="2"/>
      <c r="DT12" s="2">
        <v>6</v>
      </c>
      <c r="DU12" s="2"/>
      <c r="DV12" s="2"/>
      <c r="DW12" s="2"/>
      <c r="DX12" s="2"/>
      <c r="DY12" s="2"/>
      <c r="DZ12" s="2"/>
      <c r="EA12" s="2"/>
      <c r="EB12" s="2"/>
      <c r="EC12" s="2"/>
      <c r="ED12" s="2"/>
      <c r="EE12" s="2"/>
      <c r="EF12" s="2"/>
      <c r="EG12" s="2"/>
      <c r="EH12" s="2"/>
      <c r="EI12" s="2"/>
      <c r="EJ12" s="2">
        <v>1</v>
      </c>
      <c r="EK12" s="2"/>
      <c r="EL12" s="2"/>
      <c r="EM12" s="2"/>
      <c r="EN12" s="2"/>
      <c r="EO12" s="2"/>
      <c r="EP12" s="2"/>
      <c r="EQ12" s="2"/>
      <c r="ER12" s="2"/>
      <c r="ES12" s="2"/>
      <c r="ET12" s="2"/>
      <c r="EU12" s="2"/>
      <c r="EV12" s="2"/>
      <c r="EW12" s="2"/>
    </row>
    <row r="13" spans="1:153"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c r="Z13" s="1">
        <v>90</v>
      </c>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v>60</v>
      </c>
      <c r="BR13" s="1"/>
      <c r="BS13" s="1"/>
      <c r="BT13" s="1"/>
      <c r="BU13" s="1"/>
      <c r="BV13" s="1"/>
      <c r="BW13" s="1"/>
      <c r="BX13" s="1"/>
      <c r="BY13" s="1"/>
      <c r="BZ13" s="1"/>
      <c r="CA13" s="1"/>
      <c r="CB13" s="1"/>
      <c r="CC13" s="1"/>
      <c r="CD13" s="2"/>
      <c r="CE13" s="2"/>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2"/>
      <c r="EI13" s="2"/>
      <c r="EJ13" s="1"/>
      <c r="EK13" s="1"/>
      <c r="EL13" s="1"/>
      <c r="EM13" s="1"/>
      <c r="EN13" s="1"/>
      <c r="EO13" s="1"/>
      <c r="EP13" s="1"/>
      <c r="EQ13" s="1"/>
      <c r="ER13" s="1"/>
      <c r="ES13" s="1"/>
      <c r="ET13" s="1"/>
      <c r="EU13" s="2"/>
      <c r="EV13" s="2"/>
      <c r="EW13" s="2"/>
    </row>
    <row r="14" spans="1:153"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v>30</v>
      </c>
      <c r="BF14" s="1"/>
      <c r="BG14" s="1"/>
      <c r="BH14" s="1"/>
      <c r="BI14" s="1"/>
      <c r="BJ14" s="1"/>
      <c r="BK14" s="1"/>
      <c r="BL14" s="1"/>
      <c r="BM14" s="1"/>
      <c r="BN14" s="1"/>
      <c r="BO14" s="1"/>
      <c r="BP14" s="1"/>
      <c r="BQ14" s="1"/>
      <c r="BR14" s="1"/>
      <c r="BS14" s="1">
        <v>60</v>
      </c>
      <c r="BT14" s="1"/>
      <c r="BU14" s="1"/>
      <c r="BV14" s="1"/>
      <c r="BW14" s="1"/>
      <c r="BX14" s="1"/>
      <c r="BY14" s="1"/>
      <c r="BZ14" s="1"/>
      <c r="CA14" s="1"/>
      <c r="CB14" s="1"/>
      <c r="CC14" s="1"/>
      <c r="CD14" s="2"/>
      <c r="CE14" s="2"/>
      <c r="CF14" s="1"/>
      <c r="CG14" s="1"/>
      <c r="CH14" s="1"/>
      <c r="CI14" s="1"/>
      <c r="CJ14" s="1">
        <v>20</v>
      </c>
      <c r="CK14" s="1"/>
      <c r="CL14" s="1"/>
      <c r="CM14" s="1"/>
      <c r="CN14" s="1"/>
      <c r="CO14" s="1"/>
      <c r="CP14" s="1"/>
      <c r="CQ14" s="1"/>
      <c r="CR14" s="1"/>
      <c r="CS14" s="1"/>
      <c r="CT14" s="1"/>
      <c r="CU14" s="1"/>
      <c r="CV14" s="1"/>
      <c r="CW14" s="1"/>
      <c r="CX14" s="1"/>
      <c r="CY14" s="1"/>
      <c r="CZ14" s="1"/>
      <c r="DA14" s="1"/>
      <c r="DB14" s="1">
        <v>30</v>
      </c>
      <c r="DC14" s="1"/>
      <c r="DD14" s="1"/>
      <c r="DE14" s="1"/>
      <c r="DF14" s="1"/>
      <c r="DG14" s="1"/>
      <c r="DH14" s="1"/>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1"/>
      <c r="EK14" s="1"/>
      <c r="EL14" s="1"/>
      <c r="EM14" s="1"/>
      <c r="EN14" s="1"/>
      <c r="EO14" s="1"/>
      <c r="EP14" s="1"/>
      <c r="EQ14" s="1"/>
      <c r="ER14" s="1"/>
      <c r="ES14" s="1"/>
      <c r="ET14" s="1"/>
      <c r="EU14" s="2"/>
      <c r="EV14" s="2"/>
      <c r="EW14" s="2"/>
    </row>
    <row r="15" spans="1:153"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c r="AJ15" s="1">
        <v>150</v>
      </c>
      <c r="AK15" s="1"/>
      <c r="AL15" s="1"/>
      <c r="AM15" s="1"/>
      <c r="AN15" s="1"/>
      <c r="AO15" s="1"/>
      <c r="AP15" s="1"/>
      <c r="AQ15" s="1"/>
      <c r="AR15" s="1"/>
      <c r="AS15" s="1"/>
      <c r="AT15" s="1"/>
      <c r="AU15" s="1"/>
      <c r="AV15" s="1"/>
      <c r="AW15" s="1"/>
      <c r="AX15" s="1"/>
      <c r="AY15" s="1">
        <v>50</v>
      </c>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2"/>
      <c r="CE15" s="2"/>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2"/>
      <c r="DJ15" s="2"/>
      <c r="DK15" s="2"/>
      <c r="DL15" s="2"/>
      <c r="DM15" s="2"/>
      <c r="DN15" s="2"/>
      <c r="DO15" s="2"/>
      <c r="DP15" s="2"/>
      <c r="DQ15" s="2"/>
      <c r="DR15" s="2"/>
      <c r="DS15" s="2"/>
      <c r="DT15" s="2"/>
      <c r="DU15" s="2"/>
      <c r="DV15" s="2"/>
      <c r="DW15" s="2"/>
      <c r="DX15" s="2"/>
      <c r="DY15" s="2"/>
      <c r="DZ15" s="2"/>
      <c r="EA15" s="2"/>
      <c r="EB15" s="2"/>
      <c r="EC15" s="2"/>
      <c r="ED15" s="2"/>
      <c r="EE15" s="2"/>
      <c r="EF15" s="2"/>
      <c r="EG15" s="2">
        <v>1</v>
      </c>
      <c r="EH15" s="2"/>
      <c r="EI15" s="2"/>
      <c r="EJ15" s="1"/>
      <c r="EK15" s="1"/>
      <c r="EL15" s="1"/>
      <c r="EM15" s="1"/>
      <c r="EN15" s="1"/>
      <c r="EO15" s="1"/>
      <c r="EP15" s="1"/>
      <c r="EQ15" s="1"/>
      <c r="ER15" s="1"/>
      <c r="ES15" s="1"/>
      <c r="ET15" s="1"/>
      <c r="EU15" s="2"/>
      <c r="EV15" s="2"/>
      <c r="EW15" s="2"/>
    </row>
    <row r="16" spans="1:153" x14ac:dyDescent="0.25">
      <c r="A16" s="13" t="s">
        <v>607</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c r="Y16" s="1">
        <v>750</v>
      </c>
      <c r="Z16" s="1"/>
      <c r="AA16" s="1"/>
      <c r="AB16" s="1"/>
      <c r="AC16" s="1"/>
      <c r="AD16" s="1"/>
      <c r="AE16" s="1">
        <v>100</v>
      </c>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2"/>
      <c r="CE16" s="2"/>
      <c r="CF16" s="1"/>
      <c r="CG16" s="1"/>
      <c r="CH16" s="1"/>
      <c r="CI16" s="1"/>
      <c r="CJ16" s="1"/>
      <c r="CK16" s="1"/>
      <c r="CL16" s="1"/>
      <c r="CM16" s="1"/>
      <c r="CN16" s="1"/>
      <c r="CO16" s="1"/>
      <c r="CP16" s="1"/>
      <c r="CQ16" s="1"/>
      <c r="CR16" s="1"/>
      <c r="CS16" s="1"/>
      <c r="CT16" s="1"/>
      <c r="CU16" s="1"/>
      <c r="CV16" s="1"/>
      <c r="CW16" s="1">
        <v>750</v>
      </c>
      <c r="CX16" s="1"/>
      <c r="CY16" s="1"/>
      <c r="CZ16" s="1"/>
      <c r="DA16" s="1"/>
      <c r="DB16" s="1"/>
      <c r="DC16" s="1"/>
      <c r="DD16" s="1"/>
      <c r="DE16" s="1"/>
      <c r="DF16" s="1"/>
      <c r="DG16" s="1"/>
      <c r="DH16" s="1"/>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1"/>
      <c r="EK16" s="1"/>
      <c r="EL16" s="1"/>
      <c r="EM16" s="1"/>
      <c r="EN16" s="1"/>
      <c r="EO16" s="1"/>
      <c r="EP16" s="1"/>
      <c r="EQ16" s="1"/>
      <c r="ER16" s="1"/>
      <c r="ES16" s="1"/>
      <c r="ET16" s="1"/>
      <c r="EU16" s="2"/>
      <c r="EV16" s="2"/>
      <c r="EW16" s="2"/>
    </row>
    <row r="17" spans="1:153"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v>15</v>
      </c>
      <c r="BF17" s="2"/>
      <c r="BG17" s="2"/>
      <c r="BH17" s="2"/>
      <c r="BI17" s="2"/>
      <c r="BJ17" s="2"/>
      <c r="BK17" s="2"/>
      <c r="BL17" s="2"/>
      <c r="BM17" s="2"/>
      <c r="BN17" s="2"/>
      <c r="BO17" s="2"/>
      <c r="BP17" s="2"/>
      <c r="BQ17" s="2"/>
      <c r="BR17" s="2"/>
      <c r="BS17" s="2"/>
      <c r="BT17" s="2"/>
      <c r="BU17" s="2">
        <v>120</v>
      </c>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v>1</v>
      </c>
      <c r="EL17" s="2">
        <v>1</v>
      </c>
      <c r="EM17" s="2"/>
      <c r="EN17" s="2"/>
      <c r="EO17" s="2"/>
      <c r="EP17" s="2"/>
      <c r="EQ17" s="2"/>
      <c r="ER17" s="2"/>
      <c r="ES17" s="2">
        <v>1</v>
      </c>
      <c r="ET17" s="2">
        <v>1</v>
      </c>
      <c r="EU17" s="2"/>
      <c r="EV17" s="2"/>
      <c r="EW17" s="2"/>
    </row>
    <row r="18" spans="1:153"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v>15</v>
      </c>
      <c r="BF18" s="2"/>
      <c r="BG18" s="2"/>
      <c r="BH18" s="2"/>
      <c r="BI18" s="2"/>
      <c r="BJ18" s="2"/>
      <c r="BK18" s="2"/>
      <c r="BL18" s="2"/>
      <c r="BM18" s="2"/>
      <c r="BN18" s="2"/>
      <c r="BO18" s="2"/>
      <c r="BP18" s="2"/>
      <c r="BQ18" s="2"/>
      <c r="BR18" s="2"/>
      <c r="BS18" s="2"/>
      <c r="BT18" s="2"/>
      <c r="BU18" s="2">
        <v>120</v>
      </c>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v>45</v>
      </c>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v>1</v>
      </c>
      <c r="EL18" s="2">
        <v>1</v>
      </c>
      <c r="EM18" s="2"/>
      <c r="EN18" s="2"/>
      <c r="EO18" s="2"/>
      <c r="EP18" s="2"/>
      <c r="EQ18" s="2"/>
      <c r="ER18" s="2"/>
      <c r="ES18" s="2">
        <v>1</v>
      </c>
      <c r="ET18" s="2">
        <v>1</v>
      </c>
      <c r="EU18" s="2"/>
      <c r="EV18" s="2"/>
      <c r="EW18" s="2"/>
    </row>
    <row r="19" spans="1:153"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v>15</v>
      </c>
      <c r="AO19" s="1"/>
      <c r="AP19" s="1"/>
      <c r="AQ19" s="1"/>
      <c r="AR19" s="1"/>
      <c r="AS19" s="1"/>
      <c r="AT19" s="1"/>
      <c r="AU19" s="1"/>
      <c r="AV19" s="1"/>
      <c r="AW19" s="1"/>
      <c r="AX19" s="1"/>
      <c r="AY19" s="1"/>
      <c r="AZ19" s="1"/>
      <c r="BA19" s="1"/>
      <c r="BB19" s="1"/>
      <c r="BC19" s="1"/>
      <c r="BD19" s="1"/>
      <c r="BE19" s="1">
        <v>15</v>
      </c>
      <c r="BF19" s="1"/>
      <c r="BG19" s="1"/>
      <c r="BH19" s="1"/>
      <c r="BI19" s="1">
        <v>90</v>
      </c>
      <c r="BJ19" s="1"/>
      <c r="BK19" s="1"/>
      <c r="BL19" s="1"/>
      <c r="BM19" s="1"/>
      <c r="BN19" s="1"/>
      <c r="BO19" s="1"/>
      <c r="BP19" s="1"/>
      <c r="BQ19" s="1"/>
      <c r="BR19" s="1"/>
      <c r="BS19" s="1"/>
      <c r="BT19" s="1"/>
      <c r="BU19" s="1"/>
      <c r="BV19" s="1"/>
      <c r="BW19" s="1"/>
      <c r="BX19" s="1"/>
      <c r="BY19" s="1"/>
      <c r="BZ19" s="1"/>
      <c r="CA19" s="1"/>
      <c r="CB19" s="1"/>
      <c r="CC19" s="1"/>
      <c r="CD19" s="2"/>
      <c r="CE19" s="2"/>
      <c r="CF19" s="1"/>
      <c r="CG19" s="1"/>
      <c r="CH19" s="1">
        <v>30</v>
      </c>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1"/>
      <c r="EK19" s="1"/>
      <c r="EL19" s="1"/>
      <c r="EM19" s="1"/>
      <c r="EN19" s="1"/>
      <c r="EO19" s="1"/>
      <c r="EP19" s="1"/>
      <c r="EQ19" s="1"/>
      <c r="ER19" s="1"/>
      <c r="ES19" s="1"/>
      <c r="ET19" s="1"/>
      <c r="EU19" s="2"/>
      <c r="EV19" s="2"/>
      <c r="EW19" s="2"/>
    </row>
    <row r="20" spans="1:153" x14ac:dyDescent="0.25">
      <c r="A20" s="1" t="s">
        <v>443</v>
      </c>
      <c r="B20" s="1" t="s">
        <v>151</v>
      </c>
      <c r="C20" s="3" t="s">
        <v>68</v>
      </c>
      <c r="D20" s="2">
        <v>400</v>
      </c>
      <c r="E20" s="2"/>
      <c r="F20" s="1" t="s">
        <v>60</v>
      </c>
      <c r="G20" s="2"/>
      <c r="H20" s="2">
        <f t="shared" si="0"/>
        <v>165</v>
      </c>
      <c r="I20" s="1"/>
      <c r="J20" s="1"/>
      <c r="K20" s="1"/>
      <c r="L20" s="1"/>
      <c r="M20" s="1"/>
      <c r="N20" s="1"/>
      <c r="O20" s="1"/>
      <c r="P20" s="1"/>
      <c r="Q20" s="1">
        <v>45</v>
      </c>
      <c r="R20" s="1"/>
      <c r="S20" s="1"/>
      <c r="T20" s="1"/>
      <c r="U20" s="1"/>
      <c r="V20" s="1"/>
      <c r="W20" s="1"/>
      <c r="X20" s="1"/>
      <c r="Y20" s="1"/>
      <c r="Z20" s="1"/>
      <c r="AA20" s="1"/>
      <c r="AB20" s="1"/>
      <c r="AC20" s="1"/>
      <c r="AD20" s="1"/>
      <c r="AE20" s="1"/>
      <c r="AF20" s="1"/>
      <c r="AG20" s="1"/>
      <c r="AH20" s="1"/>
      <c r="AI20" s="1"/>
      <c r="AJ20" s="1"/>
      <c r="AK20" s="1"/>
      <c r="AL20" s="1"/>
      <c r="AM20" s="1"/>
      <c r="AN20" s="1">
        <v>15</v>
      </c>
      <c r="AO20" s="1"/>
      <c r="AP20" s="1"/>
      <c r="AQ20" s="1"/>
      <c r="AR20" s="1"/>
      <c r="AS20" s="1"/>
      <c r="AT20" s="1"/>
      <c r="AU20" s="1"/>
      <c r="AV20" s="1"/>
      <c r="AW20" s="1"/>
      <c r="AX20" s="1"/>
      <c r="AY20" s="1"/>
      <c r="AZ20" s="1"/>
      <c r="BA20" s="1"/>
      <c r="BB20" s="1"/>
      <c r="BC20" s="1"/>
      <c r="BD20" s="1"/>
      <c r="BE20" s="1"/>
      <c r="BF20" s="1"/>
      <c r="BG20" s="1"/>
      <c r="BH20" s="1"/>
      <c r="BI20" s="1">
        <v>60</v>
      </c>
      <c r="BJ20" s="1"/>
      <c r="BK20" s="1"/>
      <c r="BL20" s="1"/>
      <c r="BM20" s="1"/>
      <c r="BN20" s="1"/>
      <c r="BO20" s="1"/>
      <c r="BP20" s="1"/>
      <c r="BQ20" s="1"/>
      <c r="BR20" s="1"/>
      <c r="BS20" s="1"/>
      <c r="BT20" s="1"/>
      <c r="BU20" s="1"/>
      <c r="BV20" s="1"/>
      <c r="BW20" s="1"/>
      <c r="BX20" s="1"/>
      <c r="BY20" s="1"/>
      <c r="BZ20" s="1"/>
      <c r="CA20" s="1">
        <v>30</v>
      </c>
      <c r="CB20" s="1"/>
      <c r="CC20" s="1"/>
      <c r="CD20" s="2"/>
      <c r="CE20" s="2"/>
      <c r="CF20" s="1"/>
      <c r="CG20" s="1"/>
      <c r="CH20" s="1">
        <v>15</v>
      </c>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1"/>
      <c r="EK20" s="1"/>
      <c r="EL20" s="1"/>
      <c r="EM20" s="1"/>
      <c r="EN20" s="1"/>
      <c r="EO20" s="1"/>
      <c r="EP20" s="1"/>
      <c r="EQ20" s="1"/>
      <c r="ER20" s="1"/>
      <c r="ES20" s="1"/>
      <c r="ET20" s="1"/>
      <c r="EU20" s="2"/>
      <c r="EV20" s="2"/>
      <c r="EW20" s="2"/>
    </row>
    <row r="21" spans="1:153"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c r="X21" s="1">
        <v>750</v>
      </c>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2"/>
      <c r="CE21" s="2"/>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v>500</v>
      </c>
      <c r="DG21" s="1"/>
      <c r="DH21" s="1"/>
      <c r="DI21" s="2"/>
      <c r="DJ21" s="2"/>
      <c r="DK21" s="2"/>
      <c r="DL21" s="2"/>
      <c r="DM21" s="2"/>
      <c r="DN21" s="2"/>
      <c r="DO21" s="2"/>
      <c r="DP21" s="2"/>
      <c r="DQ21" s="2"/>
      <c r="DR21" s="2"/>
      <c r="DS21" s="2"/>
      <c r="DT21" s="2"/>
      <c r="DU21" s="2"/>
      <c r="DV21" s="2"/>
      <c r="DW21" s="2"/>
      <c r="DX21" s="2"/>
      <c r="DY21" s="2"/>
      <c r="DZ21" s="2"/>
      <c r="EA21" s="2"/>
      <c r="EB21" s="2">
        <v>4</v>
      </c>
      <c r="EC21" s="2"/>
      <c r="ED21" s="2"/>
      <c r="EE21" s="2"/>
      <c r="EF21" s="2"/>
      <c r="EG21" s="2"/>
      <c r="EH21" s="2"/>
      <c r="EI21" s="2"/>
      <c r="EJ21" s="1"/>
      <c r="EK21" s="1"/>
      <c r="EL21" s="1"/>
      <c r="EM21" s="1"/>
      <c r="EN21" s="1"/>
      <c r="EO21" s="1"/>
      <c r="EP21" s="1"/>
      <c r="EQ21" s="1"/>
      <c r="ER21" s="1"/>
      <c r="ES21" s="1"/>
      <c r="ET21" s="1"/>
      <c r="EU21" s="2"/>
      <c r="EV21" s="2"/>
      <c r="EW21" s="2"/>
    </row>
    <row r="22" spans="1:153" x14ac:dyDescent="0.25">
      <c r="A22" s="1" t="s">
        <v>569</v>
      </c>
      <c r="B22" s="1" t="s">
        <v>53</v>
      </c>
      <c r="C22" s="1" t="s">
        <v>69</v>
      </c>
      <c r="D22" s="2">
        <v>300</v>
      </c>
      <c r="E22" s="2">
        <v>120</v>
      </c>
      <c r="F22" s="2" t="s">
        <v>59</v>
      </c>
      <c r="G22" s="2">
        <v>180</v>
      </c>
      <c r="H22" s="2">
        <f t="shared" si="0"/>
        <v>60</v>
      </c>
      <c r="I22" s="1"/>
      <c r="J22" s="1"/>
      <c r="K22" s="1"/>
      <c r="L22" s="1"/>
      <c r="M22" s="1"/>
      <c r="N22" s="1"/>
      <c r="O22" s="1"/>
      <c r="P22" s="1"/>
      <c r="Q22" s="1"/>
      <c r="R22" s="1"/>
      <c r="S22" s="1"/>
      <c r="T22" s="1">
        <v>60</v>
      </c>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2"/>
      <c r="CE22" s="2"/>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2"/>
      <c r="DJ22" s="2"/>
      <c r="DK22" s="2"/>
      <c r="DL22" s="2"/>
      <c r="DM22" s="2"/>
      <c r="DN22" s="2"/>
      <c r="DO22" s="2"/>
      <c r="DP22" s="2"/>
      <c r="DQ22" s="2"/>
      <c r="DR22" s="2"/>
      <c r="DS22" s="2"/>
      <c r="DT22" s="2"/>
      <c r="DU22" s="2"/>
      <c r="DV22" s="2"/>
      <c r="DW22" s="2"/>
      <c r="DX22" s="2"/>
      <c r="DY22" s="2"/>
      <c r="DZ22" s="2">
        <v>1</v>
      </c>
      <c r="EA22" s="2"/>
      <c r="EB22" s="2">
        <v>1</v>
      </c>
      <c r="EC22" s="2"/>
      <c r="ED22" s="2"/>
      <c r="EE22" s="2"/>
      <c r="EF22" s="2"/>
      <c r="EG22" s="2"/>
      <c r="EH22" s="2"/>
      <c r="EI22" s="2"/>
      <c r="EJ22" s="1"/>
      <c r="EK22" s="1"/>
      <c r="EL22" s="1"/>
      <c r="EM22" s="1"/>
      <c r="EN22" s="1"/>
      <c r="EO22" s="1"/>
      <c r="EP22" s="1"/>
      <c r="EQ22" s="1"/>
      <c r="ER22" s="1"/>
      <c r="ES22" s="1"/>
      <c r="ET22" s="1"/>
      <c r="EU22" s="2"/>
      <c r="EV22" s="2"/>
      <c r="EW22" s="2"/>
    </row>
    <row r="23" spans="1:153"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c r="AE23" s="1"/>
      <c r="AF23" s="1">
        <v>30</v>
      </c>
      <c r="AG23" s="1"/>
      <c r="AH23" s="1"/>
      <c r="AI23" s="1"/>
      <c r="AJ23" s="1"/>
      <c r="AK23" s="1">
        <v>30</v>
      </c>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2"/>
      <c r="CE23" s="2"/>
      <c r="CF23" s="1"/>
      <c r="CG23" s="1"/>
      <c r="CH23" s="1"/>
      <c r="CI23" s="1"/>
      <c r="CJ23" s="1"/>
      <c r="CK23" s="1"/>
      <c r="CL23" s="1"/>
      <c r="CM23" s="1"/>
      <c r="CN23" s="1"/>
      <c r="CO23" s="1"/>
      <c r="CP23" s="1"/>
      <c r="CQ23" s="1"/>
      <c r="CR23" s="1">
        <v>90</v>
      </c>
      <c r="CS23" s="1"/>
      <c r="CT23" s="1"/>
      <c r="CU23" s="1"/>
      <c r="CV23" s="1"/>
      <c r="CW23" s="1"/>
      <c r="CX23" s="1"/>
      <c r="CY23" s="1"/>
      <c r="CZ23" s="1"/>
      <c r="DA23" s="1"/>
      <c r="DB23" s="1"/>
      <c r="DC23" s="1"/>
      <c r="DD23" s="1"/>
      <c r="DE23" s="1"/>
      <c r="DF23" s="1"/>
      <c r="DG23" s="1"/>
      <c r="DH23" s="1"/>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1"/>
      <c r="EK23" s="1"/>
      <c r="EL23" s="1"/>
      <c r="EM23" s="1"/>
      <c r="EN23" s="1"/>
      <c r="EO23" s="1"/>
      <c r="EP23" s="1"/>
      <c r="EQ23" s="1"/>
      <c r="ER23" s="1"/>
      <c r="ES23" s="1"/>
      <c r="ET23" s="1"/>
      <c r="EU23" s="2"/>
      <c r="EV23" s="2"/>
      <c r="EW23" s="2"/>
    </row>
    <row r="24" spans="1:153"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v>60</v>
      </c>
      <c r="BE24" s="1"/>
      <c r="BF24" s="1"/>
      <c r="BG24" s="1"/>
      <c r="BH24" s="1"/>
      <c r="BI24" s="1"/>
      <c r="BJ24" s="1"/>
      <c r="BK24" s="1"/>
      <c r="BL24" s="1"/>
      <c r="BM24" s="1"/>
      <c r="BN24" s="1"/>
      <c r="BO24" s="1"/>
      <c r="BP24" s="1"/>
      <c r="BQ24" s="1"/>
      <c r="BR24" s="1"/>
      <c r="BS24" s="1"/>
      <c r="BT24" s="1"/>
      <c r="BU24" s="1"/>
      <c r="BV24" s="1"/>
      <c r="BW24" s="1"/>
      <c r="BX24" s="1"/>
      <c r="BY24" s="1">
        <v>60</v>
      </c>
      <c r="BZ24" s="1"/>
      <c r="CA24" s="1"/>
      <c r="CB24" s="1"/>
      <c r="CC24" s="1"/>
      <c r="CD24" s="2"/>
      <c r="CE24" s="2"/>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1"/>
      <c r="EK24" s="1"/>
      <c r="EL24" s="1"/>
      <c r="EM24" s="1"/>
      <c r="EN24" s="1"/>
      <c r="EO24" s="1"/>
      <c r="EP24" s="1"/>
      <c r="EQ24" s="1"/>
      <c r="ER24" s="1"/>
      <c r="ES24" s="1"/>
      <c r="ET24" s="1"/>
      <c r="EU24" s="2"/>
      <c r="EV24" s="2"/>
      <c r="EW24" s="2"/>
    </row>
    <row r="25" spans="1:153"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v>15</v>
      </c>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v>120</v>
      </c>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v>1</v>
      </c>
      <c r="EK25" s="2"/>
      <c r="EL25" s="2"/>
      <c r="EM25" s="2"/>
      <c r="EN25" s="2"/>
      <c r="EO25" s="2"/>
      <c r="EP25" s="2"/>
      <c r="EQ25" s="2"/>
      <c r="ER25" s="2"/>
      <c r="ES25" s="2"/>
      <c r="ET25" s="2"/>
      <c r="EU25" s="2"/>
      <c r="EV25" s="2"/>
      <c r="EW25" s="2"/>
    </row>
    <row r="26" spans="1:153" x14ac:dyDescent="0.25">
      <c r="A26" s="1" t="s">
        <v>489</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v>15</v>
      </c>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v>120</v>
      </c>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c r="EV26" s="2"/>
      <c r="EW26" s="2"/>
    </row>
    <row r="27" spans="1:153" x14ac:dyDescent="0.25">
      <c r="A27" s="1" t="s">
        <v>680</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c r="X27" s="1">
        <v>135</v>
      </c>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2"/>
      <c r="CE27" s="2"/>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2"/>
      <c r="DJ27" s="2"/>
      <c r="DK27" s="2"/>
      <c r="DL27" s="2"/>
      <c r="DM27" s="2"/>
      <c r="DN27" s="2"/>
      <c r="DO27" s="2"/>
      <c r="DP27" s="2"/>
      <c r="DQ27" s="2"/>
      <c r="DR27" s="2"/>
      <c r="DS27" s="2"/>
      <c r="DT27" s="2"/>
      <c r="DU27" s="2"/>
      <c r="DV27" s="2"/>
      <c r="DW27" s="2"/>
      <c r="DX27" s="2"/>
      <c r="DY27" s="2"/>
      <c r="DZ27" s="2"/>
      <c r="EA27" s="2"/>
      <c r="EB27" s="2">
        <v>1</v>
      </c>
      <c r="EC27" s="2"/>
      <c r="ED27" s="2"/>
      <c r="EE27" s="2"/>
      <c r="EF27" s="2"/>
      <c r="EG27" s="2"/>
      <c r="EH27" s="2"/>
      <c r="EI27" s="2">
        <v>2</v>
      </c>
      <c r="EJ27" s="1"/>
      <c r="EK27" s="1"/>
      <c r="EL27" s="1"/>
      <c r="EM27" s="1"/>
      <c r="EN27" s="1"/>
      <c r="EO27" s="1"/>
      <c r="EP27" s="1"/>
      <c r="EQ27" s="1"/>
      <c r="ER27" s="1"/>
      <c r="ES27" s="1"/>
      <c r="ET27" s="1"/>
      <c r="EU27" s="2"/>
      <c r="EV27" s="2"/>
      <c r="EW27" s="2"/>
    </row>
    <row r="28" spans="1:153"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v>60</v>
      </c>
      <c r="BH28" s="1"/>
      <c r="BI28" s="1"/>
      <c r="BJ28" s="1"/>
      <c r="BK28" s="1"/>
      <c r="BL28" s="1"/>
      <c r="BM28" s="1"/>
      <c r="BN28" s="1"/>
      <c r="BO28" s="1"/>
      <c r="BP28" s="1"/>
      <c r="BQ28" s="1"/>
      <c r="BR28" s="1"/>
      <c r="BS28" s="1"/>
      <c r="BT28" s="1"/>
      <c r="BU28" s="1"/>
      <c r="BV28" s="1"/>
      <c r="BW28" s="1"/>
      <c r="BX28" s="1"/>
      <c r="BY28" s="1"/>
      <c r="BZ28" s="1"/>
      <c r="CA28" s="1"/>
      <c r="CB28" s="1"/>
      <c r="CC28" s="1"/>
      <c r="CD28" s="2"/>
      <c r="CE28" s="2"/>
      <c r="CF28" s="1"/>
      <c r="CG28" s="1"/>
      <c r="CH28" s="1"/>
      <c r="CI28" s="1"/>
      <c r="CJ28" s="1"/>
      <c r="CK28" s="1"/>
      <c r="CL28" s="1"/>
      <c r="CM28" s="1">
        <v>30</v>
      </c>
      <c r="CN28" s="1"/>
      <c r="CO28" s="1"/>
      <c r="CP28" s="1"/>
      <c r="CQ28" s="1"/>
      <c r="CR28" s="1"/>
      <c r="CS28" s="1"/>
      <c r="CT28" s="1"/>
      <c r="CU28" s="1"/>
      <c r="CV28" s="1"/>
      <c r="CW28" s="1"/>
      <c r="CX28" s="1"/>
      <c r="CY28" s="1"/>
      <c r="CZ28" s="1"/>
      <c r="DA28" s="1"/>
      <c r="DB28" s="1"/>
      <c r="DC28" s="1"/>
      <c r="DD28" s="1"/>
      <c r="DE28" s="1"/>
      <c r="DF28" s="1"/>
      <c r="DG28" s="1"/>
      <c r="DH28" s="1"/>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1"/>
      <c r="EK28" s="1"/>
      <c r="EL28" s="1"/>
      <c r="EM28" s="1"/>
      <c r="EN28" s="1"/>
      <c r="EO28" s="1"/>
      <c r="EP28" s="1"/>
      <c r="EQ28" s="1"/>
      <c r="ER28" s="1"/>
      <c r="ES28" s="1"/>
      <c r="ET28" s="1"/>
      <c r="EU28" s="2"/>
      <c r="EV28" s="2"/>
      <c r="EW28" s="2"/>
    </row>
    <row r="29" spans="1:153"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v>30</v>
      </c>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c r="EV29" s="2"/>
      <c r="EW29" s="2"/>
    </row>
    <row r="30" spans="1:153" x14ac:dyDescent="0.25">
      <c r="A30" s="1" t="s">
        <v>702</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c r="Y30" s="1">
        <v>750</v>
      </c>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2"/>
      <c r="CE30" s="2"/>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v>500</v>
      </c>
      <c r="DG30" s="1"/>
      <c r="DH30" s="1"/>
      <c r="DI30" s="2"/>
      <c r="DJ30" s="2"/>
      <c r="DK30" s="2"/>
      <c r="DL30" s="2"/>
      <c r="DM30" s="2"/>
      <c r="DN30" s="2"/>
      <c r="DO30" s="2"/>
      <c r="DP30" s="2"/>
      <c r="DQ30" s="2"/>
      <c r="DR30" s="2"/>
      <c r="DS30" s="2"/>
      <c r="DT30" s="2"/>
      <c r="DU30" s="2"/>
      <c r="DV30" s="2"/>
      <c r="DW30" s="2"/>
      <c r="DX30" s="2"/>
      <c r="DY30" s="2"/>
      <c r="DZ30" s="2"/>
      <c r="EA30" s="2"/>
      <c r="EB30" s="2">
        <v>4</v>
      </c>
      <c r="EC30" s="2"/>
      <c r="ED30" s="2"/>
      <c r="EE30" s="2"/>
      <c r="EF30" s="2"/>
      <c r="EG30" s="2"/>
      <c r="EH30" s="2"/>
      <c r="EI30" s="2"/>
      <c r="EJ30" s="1"/>
      <c r="EK30" s="1"/>
      <c r="EL30" s="1"/>
      <c r="EM30" s="1"/>
      <c r="EN30" s="1"/>
      <c r="EO30" s="1"/>
      <c r="EP30" s="1"/>
      <c r="EQ30" s="1"/>
      <c r="ER30" s="1"/>
      <c r="ES30" s="1"/>
      <c r="ET30" s="1"/>
      <c r="EU30" s="2"/>
      <c r="EV30" s="2"/>
      <c r="EW30" s="2"/>
    </row>
    <row r="31" spans="1:153" x14ac:dyDescent="0.25">
      <c r="A31" s="1" t="s">
        <v>589</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c r="Y31" s="1">
        <v>750</v>
      </c>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2"/>
      <c r="CE31" s="2"/>
      <c r="CF31" s="1"/>
      <c r="CG31" s="1"/>
      <c r="CH31" s="1"/>
      <c r="CI31" s="1"/>
      <c r="CJ31" s="1"/>
      <c r="CK31" s="1"/>
      <c r="CL31" s="1"/>
      <c r="CM31" s="1"/>
      <c r="CN31" s="1"/>
      <c r="CO31" s="1"/>
      <c r="CP31" s="1"/>
      <c r="CQ31" s="1"/>
      <c r="CR31" s="1"/>
      <c r="CS31" s="1"/>
      <c r="CT31" s="1"/>
      <c r="CU31" s="1"/>
      <c r="CV31" s="1"/>
      <c r="CW31" s="1"/>
      <c r="CX31" s="1"/>
      <c r="CY31" s="1"/>
      <c r="CZ31" s="1"/>
      <c r="DA31" s="1"/>
      <c r="DB31" s="1"/>
      <c r="DC31" s="1"/>
      <c r="DD31" s="1">
        <v>400</v>
      </c>
      <c r="DE31" s="1"/>
      <c r="DF31" s="1"/>
      <c r="DG31" s="1"/>
      <c r="DH31" s="1"/>
      <c r="DI31" s="2"/>
      <c r="DJ31" s="2"/>
      <c r="DK31" s="2"/>
      <c r="DL31" s="2"/>
      <c r="DM31" s="2"/>
      <c r="DN31" s="2"/>
      <c r="DO31" s="2"/>
      <c r="DP31" s="2"/>
      <c r="DQ31" s="2"/>
      <c r="DR31" s="2"/>
      <c r="DS31" s="2"/>
      <c r="DT31" s="2"/>
      <c r="DU31" s="2"/>
      <c r="DV31" s="2"/>
      <c r="DW31" s="2"/>
      <c r="DX31" s="2"/>
      <c r="DY31" s="2"/>
      <c r="DZ31" s="2"/>
      <c r="EA31" s="2"/>
      <c r="EB31" s="2">
        <v>3</v>
      </c>
      <c r="EC31" s="2"/>
      <c r="ED31" s="2"/>
      <c r="EE31" s="2"/>
      <c r="EF31" s="2"/>
      <c r="EG31" s="2"/>
      <c r="EH31" s="2"/>
      <c r="EI31" s="2"/>
      <c r="EJ31" s="1"/>
      <c r="EK31" s="1"/>
      <c r="EL31" s="1"/>
      <c r="EM31" s="1"/>
      <c r="EN31" s="1"/>
      <c r="EO31" s="1"/>
      <c r="EP31" s="1"/>
      <c r="EQ31" s="1"/>
      <c r="ER31" s="1"/>
      <c r="ES31" s="1"/>
      <c r="ET31" s="1"/>
      <c r="EU31" s="2"/>
      <c r="EV31" s="2"/>
      <c r="EW31" s="2"/>
    </row>
    <row r="32" spans="1:153" x14ac:dyDescent="0.25">
      <c r="A32" s="1" t="s">
        <v>703</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c r="Y32" s="1">
        <v>750</v>
      </c>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2"/>
      <c r="CE32" s="2"/>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2"/>
      <c r="DJ32" s="2"/>
      <c r="DK32" s="2"/>
      <c r="DL32" s="2"/>
      <c r="DM32" s="2"/>
      <c r="DN32" s="2">
        <v>4</v>
      </c>
      <c r="DO32" s="2"/>
      <c r="DP32" s="2"/>
      <c r="DQ32" s="2"/>
      <c r="DR32" s="2"/>
      <c r="DS32" s="2"/>
      <c r="DT32" s="2"/>
      <c r="DU32" s="2"/>
      <c r="DV32" s="2"/>
      <c r="DW32" s="2"/>
      <c r="DX32" s="2"/>
      <c r="DY32" s="2"/>
      <c r="DZ32" s="2"/>
      <c r="EA32" s="2"/>
      <c r="EB32" s="2">
        <v>4</v>
      </c>
      <c r="EC32" s="2"/>
      <c r="ED32" s="2"/>
      <c r="EE32" s="2"/>
      <c r="EF32" s="2"/>
      <c r="EG32" s="2"/>
      <c r="EH32" s="2"/>
      <c r="EI32" s="2"/>
      <c r="EJ32" s="1"/>
      <c r="EK32" s="1"/>
      <c r="EL32" s="1"/>
      <c r="EM32" s="1"/>
      <c r="EN32" s="1"/>
      <c r="EO32" s="1"/>
      <c r="EP32" s="1"/>
      <c r="EQ32" s="1"/>
      <c r="ER32" s="1"/>
      <c r="ES32" s="1"/>
      <c r="ET32" s="1"/>
      <c r="EU32" s="2"/>
      <c r="EV32" s="2"/>
      <c r="EW32" s="2"/>
    </row>
    <row r="33" spans="1:153" x14ac:dyDescent="0.25">
      <c r="A33" s="1" t="s">
        <v>518</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v>30</v>
      </c>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v>30</v>
      </c>
      <c r="CR33" s="2"/>
      <c r="CS33" s="2"/>
      <c r="CT33" s="2"/>
      <c r="CU33" s="2"/>
      <c r="CV33" s="2"/>
      <c r="CW33" s="2"/>
      <c r="CX33" s="2"/>
      <c r="CY33" s="2"/>
      <c r="CZ33" s="2">
        <v>15</v>
      </c>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c r="EV33" s="2"/>
      <c r="EW33" s="2"/>
    </row>
    <row r="34" spans="1:153" x14ac:dyDescent="0.25">
      <c r="A34" s="1" t="s">
        <v>186</v>
      </c>
      <c r="B34" s="1" t="s">
        <v>51</v>
      </c>
      <c r="C34" s="2" t="s">
        <v>63</v>
      </c>
      <c r="D34" s="2">
        <v>300</v>
      </c>
      <c r="E34" s="2">
        <v>120</v>
      </c>
      <c r="F34" s="2" t="s">
        <v>59</v>
      </c>
      <c r="G34" s="2">
        <v>180</v>
      </c>
      <c r="H34" s="2">
        <f t="shared" ref="H34:H65" si="1">SUM(I34:DF34)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v>30</v>
      </c>
      <c r="BF34" s="1"/>
      <c r="BG34" s="1"/>
      <c r="BH34" s="1">
        <v>30</v>
      </c>
      <c r="BI34" s="1"/>
      <c r="BJ34" s="1"/>
      <c r="BK34" s="1"/>
      <c r="BL34" s="1"/>
      <c r="BM34" s="1"/>
      <c r="BN34" s="1"/>
      <c r="BO34" s="1"/>
      <c r="BP34" s="1"/>
      <c r="BQ34" s="1"/>
      <c r="BR34" s="1"/>
      <c r="BS34" s="1"/>
      <c r="BT34" s="1">
        <v>30</v>
      </c>
      <c r="BU34" s="1"/>
      <c r="BV34" s="1"/>
      <c r="BW34" s="1"/>
      <c r="BX34" s="1"/>
      <c r="BY34" s="1"/>
      <c r="BZ34" s="1"/>
      <c r="CA34" s="1"/>
      <c r="CB34" s="1"/>
      <c r="CC34" s="1"/>
      <c r="CD34" s="2"/>
      <c r="CE34" s="2"/>
      <c r="CF34" s="1"/>
      <c r="CG34" s="1"/>
      <c r="CH34" s="1">
        <v>30</v>
      </c>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1"/>
      <c r="EK34" s="1"/>
      <c r="EL34" s="1"/>
      <c r="EM34" s="1"/>
      <c r="EN34" s="1"/>
      <c r="EO34" s="1"/>
      <c r="EP34" s="1"/>
      <c r="EQ34" s="1"/>
      <c r="ER34" s="1"/>
      <c r="ES34" s="1"/>
      <c r="ET34" s="1"/>
      <c r="EU34" s="2"/>
      <c r="EV34" s="2"/>
      <c r="EW34" s="2"/>
    </row>
    <row r="35" spans="1:153"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v>15</v>
      </c>
      <c r="AP35" s="1"/>
      <c r="AQ35" s="1"/>
      <c r="AR35" s="1"/>
      <c r="AS35" s="1"/>
      <c r="AT35" s="1"/>
      <c r="AU35" s="1"/>
      <c r="AV35" s="1"/>
      <c r="AW35" s="1"/>
      <c r="AX35" s="1"/>
      <c r="AY35" s="1"/>
      <c r="AZ35" s="1"/>
      <c r="BA35" s="1"/>
      <c r="BB35" s="1"/>
      <c r="BC35" s="1"/>
      <c r="BD35" s="1"/>
      <c r="BE35" s="1">
        <v>15</v>
      </c>
      <c r="BF35" s="1"/>
      <c r="BG35" s="1"/>
      <c r="BH35" s="1"/>
      <c r="BI35" s="1"/>
      <c r="BJ35" s="1"/>
      <c r="BK35" s="1"/>
      <c r="BL35" s="1">
        <v>30</v>
      </c>
      <c r="BM35" s="1"/>
      <c r="BN35" s="1"/>
      <c r="BO35" s="1"/>
      <c r="BP35" s="1"/>
      <c r="BQ35" s="1"/>
      <c r="BR35" s="1"/>
      <c r="BS35" s="1"/>
      <c r="BT35" s="1"/>
      <c r="BU35" s="1"/>
      <c r="BV35" s="1"/>
      <c r="BW35" s="1"/>
      <c r="BX35" s="1"/>
      <c r="BY35" s="1"/>
      <c r="BZ35" s="1"/>
      <c r="CA35" s="1"/>
      <c r="CB35" s="1"/>
      <c r="CC35" s="1"/>
      <c r="CD35" s="2"/>
      <c r="CE35" s="2"/>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1"/>
      <c r="EK35" s="1"/>
      <c r="EL35" s="1"/>
      <c r="EM35" s="1"/>
      <c r="EN35" s="1"/>
      <c r="EO35" s="1"/>
      <c r="EP35" s="1"/>
      <c r="EQ35" s="1"/>
      <c r="ER35" s="1"/>
      <c r="ES35" s="1"/>
      <c r="ET35" s="1"/>
      <c r="EU35" s="2"/>
      <c r="EV35" s="2"/>
      <c r="EW35" s="2"/>
    </row>
    <row r="36" spans="1:153" x14ac:dyDescent="0.25">
      <c r="A36" s="1" t="s">
        <v>516</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v>15</v>
      </c>
      <c r="AP36" s="1"/>
      <c r="AQ36" s="1"/>
      <c r="AR36" s="1"/>
      <c r="AS36" s="1"/>
      <c r="AT36" s="1"/>
      <c r="AU36" s="1"/>
      <c r="AV36" s="1"/>
      <c r="AW36" s="1"/>
      <c r="AX36" s="1"/>
      <c r="AY36" s="1"/>
      <c r="AZ36" s="1"/>
      <c r="BA36" s="1"/>
      <c r="BB36" s="1"/>
      <c r="BC36" s="1"/>
      <c r="BD36" s="1"/>
      <c r="BE36" s="1">
        <v>15</v>
      </c>
      <c r="BF36" s="1"/>
      <c r="BG36" s="1"/>
      <c r="BH36" s="1"/>
      <c r="BI36" s="1"/>
      <c r="BJ36" s="1"/>
      <c r="BK36" s="1"/>
      <c r="BL36" s="1"/>
      <c r="BM36" s="1">
        <v>30</v>
      </c>
      <c r="BN36" s="1"/>
      <c r="BO36" s="1"/>
      <c r="BP36" s="1"/>
      <c r="BQ36" s="1"/>
      <c r="BR36" s="1"/>
      <c r="BS36" s="1"/>
      <c r="BT36" s="1"/>
      <c r="BU36" s="1"/>
      <c r="BV36" s="1"/>
      <c r="BW36" s="1"/>
      <c r="BX36" s="1"/>
      <c r="BY36" s="1"/>
      <c r="BZ36" s="1"/>
      <c r="CA36" s="1"/>
      <c r="CB36" s="1"/>
      <c r="CC36" s="1"/>
      <c r="CD36" s="2"/>
      <c r="CE36" s="2"/>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1"/>
      <c r="EK36" s="1"/>
      <c r="EL36" s="1"/>
      <c r="EM36" s="1"/>
      <c r="EN36" s="1"/>
      <c r="EO36" s="1"/>
      <c r="EP36" s="1"/>
      <c r="EQ36" s="1"/>
      <c r="ER36" s="1"/>
      <c r="ES36" s="1"/>
      <c r="ET36" s="1"/>
      <c r="EU36" s="2"/>
      <c r="EV36" s="2"/>
      <c r="EW36" s="2"/>
    </row>
    <row r="37" spans="1:153" x14ac:dyDescent="0.25">
      <c r="A37" s="1" t="s">
        <v>577</v>
      </c>
      <c r="B37" s="1" t="s">
        <v>53</v>
      </c>
      <c r="C37" s="2" t="s">
        <v>736</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v>15</v>
      </c>
      <c r="BF37" s="1"/>
      <c r="BG37" s="1"/>
      <c r="BH37" s="1"/>
      <c r="BI37" s="1"/>
      <c r="BJ37" s="1"/>
      <c r="BK37" s="1"/>
      <c r="BL37" s="1"/>
      <c r="BM37" s="1"/>
      <c r="BN37" s="1"/>
      <c r="BO37" s="1"/>
      <c r="BP37" s="1"/>
      <c r="BQ37" s="1"/>
      <c r="BR37" s="1"/>
      <c r="BS37" s="1"/>
      <c r="BT37" s="1"/>
      <c r="BU37" s="1"/>
      <c r="BV37" s="1"/>
      <c r="BW37" s="1"/>
      <c r="BX37" s="1"/>
      <c r="BY37" s="1"/>
      <c r="BZ37" s="1"/>
      <c r="CA37" s="1"/>
      <c r="CB37" s="1"/>
      <c r="CC37" s="1"/>
      <c r="CD37" s="2"/>
      <c r="CE37" s="2"/>
      <c r="CF37" s="1"/>
      <c r="CG37" s="1"/>
      <c r="CH37" s="1">
        <v>15</v>
      </c>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2">
        <v>4</v>
      </c>
      <c r="DJ37" s="2"/>
      <c r="DK37" s="2"/>
      <c r="DL37" s="2"/>
      <c r="DM37" s="2">
        <v>5</v>
      </c>
      <c r="DN37" s="2"/>
      <c r="DO37" s="2"/>
      <c r="DP37" s="2"/>
      <c r="DQ37" s="2"/>
      <c r="DR37" s="2"/>
      <c r="DS37" s="2"/>
      <c r="DT37" s="2"/>
      <c r="DU37" s="2"/>
      <c r="DV37" s="2"/>
      <c r="DW37" s="2"/>
      <c r="DX37" s="2"/>
      <c r="DY37" s="2"/>
      <c r="DZ37" s="2"/>
      <c r="EA37" s="2"/>
      <c r="EB37" s="2"/>
      <c r="EC37" s="2"/>
      <c r="ED37" s="2"/>
      <c r="EE37" s="2"/>
      <c r="EF37" s="2"/>
      <c r="EG37" s="2"/>
      <c r="EH37" s="2"/>
      <c r="EI37" s="2"/>
      <c r="EJ37" s="1"/>
      <c r="EK37" s="1"/>
      <c r="EL37" s="1"/>
      <c r="EM37" s="1"/>
      <c r="EN37" s="1"/>
      <c r="EO37" s="1"/>
      <c r="EP37" s="1"/>
      <c r="EQ37" s="1"/>
      <c r="ER37" s="1"/>
      <c r="ES37" s="1"/>
      <c r="ET37" s="1"/>
      <c r="EU37" s="2"/>
      <c r="EV37" s="2"/>
      <c r="EW37" s="2"/>
    </row>
    <row r="38" spans="1:153" x14ac:dyDescent="0.25">
      <c r="A38" s="1" t="s">
        <v>510</v>
      </c>
      <c r="B38" s="1" t="s">
        <v>50</v>
      </c>
      <c r="C38" s="2" t="s">
        <v>63</v>
      </c>
      <c r="D38" s="2">
        <v>400</v>
      </c>
      <c r="E38" s="2">
        <v>160</v>
      </c>
      <c r="F38" s="2" t="s">
        <v>59</v>
      </c>
      <c r="G38" s="2">
        <v>240</v>
      </c>
      <c r="H38" s="2">
        <f t="shared" si="1"/>
        <v>195</v>
      </c>
      <c r="I38" s="2"/>
      <c r="J38" s="2"/>
      <c r="K38" s="2"/>
      <c r="L38" s="2"/>
      <c r="M38" s="2"/>
      <c r="N38" s="2"/>
      <c r="O38" s="2"/>
      <c r="P38" s="2"/>
      <c r="Q38" s="2">
        <v>60</v>
      </c>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v>15</v>
      </c>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v>120</v>
      </c>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c r="EV38" s="2"/>
      <c r="EW38" s="2"/>
    </row>
    <row r="39" spans="1:153"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c r="Z39" s="2">
        <v>135</v>
      </c>
      <c r="AA39" s="2"/>
      <c r="AB39" s="2"/>
      <c r="AC39" s="2"/>
      <c r="AD39" s="2"/>
      <c r="AE39" s="2"/>
      <c r="AF39" s="2"/>
      <c r="AG39" s="2"/>
      <c r="AH39" s="2"/>
      <c r="AI39" s="2"/>
      <c r="AJ39" s="2"/>
      <c r="AK39" s="2"/>
      <c r="AL39" s="2"/>
      <c r="AM39" s="2"/>
      <c r="AN39" s="2"/>
      <c r="AO39" s="2"/>
      <c r="AP39" s="2"/>
      <c r="AQ39" s="2"/>
      <c r="AR39" s="2"/>
      <c r="AS39" s="2"/>
      <c r="AT39" s="2"/>
      <c r="AU39" s="2">
        <v>90</v>
      </c>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v>45</v>
      </c>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c r="EV39" s="2"/>
      <c r="EW39" s="2"/>
    </row>
    <row r="40" spans="1:153" x14ac:dyDescent="0.25">
      <c r="A40" s="1" t="s">
        <v>28</v>
      </c>
      <c r="B40" s="1" t="s">
        <v>55</v>
      </c>
      <c r="C40" s="2" t="s">
        <v>62</v>
      </c>
      <c r="D40" s="2">
        <v>200</v>
      </c>
      <c r="E40" s="2"/>
      <c r="F40" s="2" t="s">
        <v>60</v>
      </c>
      <c r="G40" s="2"/>
      <c r="H40" s="2">
        <f t="shared" si="1"/>
        <v>120</v>
      </c>
      <c r="I40" s="2"/>
      <c r="J40" s="2"/>
      <c r="K40" s="2"/>
      <c r="L40" s="2"/>
      <c r="M40" s="2"/>
      <c r="N40" s="2"/>
      <c r="O40" s="2"/>
      <c r="P40" s="2"/>
      <c r="Q40" s="2">
        <v>60</v>
      </c>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v>30</v>
      </c>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v>30</v>
      </c>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c r="EV40" s="2"/>
      <c r="EW40" s="2"/>
    </row>
    <row r="41" spans="1:153"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v>30</v>
      </c>
      <c r="AP41" s="1"/>
      <c r="AQ41" s="1"/>
      <c r="AR41" s="1"/>
      <c r="AS41" s="1"/>
      <c r="AT41" s="1"/>
      <c r="AU41" s="1"/>
      <c r="AV41" s="1"/>
      <c r="AW41" s="1"/>
      <c r="AX41" s="1"/>
      <c r="AY41" s="1"/>
      <c r="AZ41" s="1"/>
      <c r="BA41" s="1"/>
      <c r="BB41" s="1"/>
      <c r="BC41" s="1"/>
      <c r="BD41" s="1"/>
      <c r="BE41" s="1">
        <v>30</v>
      </c>
      <c r="BF41" s="1"/>
      <c r="BG41" s="1"/>
      <c r="BH41" s="1"/>
      <c r="BI41" s="1"/>
      <c r="BJ41" s="1"/>
      <c r="BK41" s="1"/>
      <c r="BL41" s="1"/>
      <c r="BM41" s="1"/>
      <c r="BN41" s="1"/>
      <c r="BO41" s="1"/>
      <c r="BP41" s="1"/>
      <c r="BQ41" s="1"/>
      <c r="BR41" s="1"/>
      <c r="BS41" s="1"/>
      <c r="BT41" s="1"/>
      <c r="BU41" s="1"/>
      <c r="BV41" s="1"/>
      <c r="BW41" s="1"/>
      <c r="BX41" s="1"/>
      <c r="BY41" s="1"/>
      <c r="BZ41" s="1"/>
      <c r="CA41" s="1"/>
      <c r="CB41" s="1"/>
      <c r="CC41" s="1"/>
      <c r="CD41" s="2"/>
      <c r="CE41" s="2"/>
      <c r="CF41" s="1"/>
      <c r="CG41" s="1"/>
      <c r="CH41" s="1">
        <v>15</v>
      </c>
      <c r="CI41" s="1"/>
      <c r="CJ41" s="1"/>
      <c r="CK41" s="1"/>
      <c r="CL41" s="1"/>
      <c r="CM41" s="1"/>
      <c r="CN41" s="1"/>
      <c r="CO41" s="1"/>
      <c r="CP41" s="1"/>
      <c r="CQ41" s="1"/>
      <c r="CR41" s="1"/>
      <c r="CS41" s="1"/>
      <c r="CT41" s="1"/>
      <c r="CU41" s="1"/>
      <c r="CV41" s="1"/>
      <c r="CW41" s="1"/>
      <c r="CX41" s="1"/>
      <c r="CY41" s="1"/>
      <c r="CZ41" s="1">
        <v>15</v>
      </c>
      <c r="DA41" s="1"/>
      <c r="DB41" s="1"/>
      <c r="DC41" s="1"/>
      <c r="DD41" s="1"/>
      <c r="DE41" s="1"/>
      <c r="DF41" s="1"/>
      <c r="DG41" s="1"/>
      <c r="DH41" s="1"/>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1"/>
      <c r="EK41" s="1"/>
      <c r="EL41" s="1"/>
      <c r="EM41" s="1"/>
      <c r="EN41" s="1"/>
      <c r="EO41" s="1"/>
      <c r="EP41" s="1"/>
      <c r="EQ41" s="1"/>
      <c r="ER41" s="1"/>
      <c r="ES41" s="1"/>
      <c r="ET41" s="1"/>
      <c r="EU41" s="2"/>
      <c r="EV41" s="2"/>
      <c r="EW41" s="2"/>
    </row>
    <row r="42" spans="1:153" x14ac:dyDescent="0.25">
      <c r="A42" s="1" t="s">
        <v>26</v>
      </c>
      <c r="B42" s="1" t="s">
        <v>50</v>
      </c>
      <c r="C42" s="3" t="s">
        <v>70</v>
      </c>
      <c r="D42" s="2">
        <v>400</v>
      </c>
      <c r="E42" s="2">
        <v>160</v>
      </c>
      <c r="F42" s="2" t="s">
        <v>59</v>
      </c>
      <c r="G42" s="2">
        <v>240</v>
      </c>
      <c r="H42" s="2">
        <f t="shared" si="1"/>
        <v>225</v>
      </c>
      <c r="I42" s="2"/>
      <c r="J42" s="2"/>
      <c r="K42" s="2"/>
      <c r="L42" s="2"/>
      <c r="M42" s="2"/>
      <c r="N42" s="2"/>
      <c r="O42" s="2"/>
      <c r="P42" s="2"/>
      <c r="Q42" s="2">
        <v>60</v>
      </c>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v>15</v>
      </c>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v>150</v>
      </c>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c r="EV42" s="2"/>
      <c r="EW42" s="2"/>
    </row>
    <row r="43" spans="1:153"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v>120</v>
      </c>
      <c r="BG43" s="1"/>
      <c r="BH43" s="1"/>
      <c r="BI43" s="1"/>
      <c r="BJ43" s="1"/>
      <c r="BK43" s="1"/>
      <c r="BL43" s="1"/>
      <c r="BM43" s="1"/>
      <c r="BN43" s="1"/>
      <c r="BO43" s="1"/>
      <c r="BP43" s="1"/>
      <c r="BQ43" s="1"/>
      <c r="BR43" s="1"/>
      <c r="BS43" s="1"/>
      <c r="BT43" s="1"/>
      <c r="BU43" s="1"/>
      <c r="BV43" s="1"/>
      <c r="BW43" s="1"/>
      <c r="BX43" s="1"/>
      <c r="BY43" s="1"/>
      <c r="BZ43" s="1"/>
      <c r="CA43" s="1"/>
      <c r="CB43" s="1"/>
      <c r="CC43" s="1"/>
      <c r="CD43" s="2"/>
      <c r="CE43" s="2"/>
      <c r="CF43" s="1"/>
      <c r="CG43" s="1"/>
      <c r="CH43" s="1">
        <v>15</v>
      </c>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1"/>
      <c r="EK43" s="1"/>
      <c r="EL43" s="1"/>
      <c r="EM43" s="1"/>
      <c r="EN43" s="1"/>
      <c r="EO43" s="1"/>
      <c r="EP43" s="1"/>
      <c r="EQ43" s="1"/>
      <c r="ER43" s="1"/>
      <c r="ES43" s="1"/>
      <c r="ET43" s="1"/>
      <c r="EU43" s="2"/>
      <c r="EV43" s="2"/>
      <c r="EW43" s="2"/>
    </row>
    <row r="44" spans="1:153" x14ac:dyDescent="0.25">
      <c r="A44" s="1" t="s">
        <v>266</v>
      </c>
      <c r="B44" s="1" t="s">
        <v>264</v>
      </c>
      <c r="C44" s="2" t="s">
        <v>63</v>
      </c>
      <c r="D44" s="2">
        <v>300</v>
      </c>
      <c r="E44" s="1"/>
      <c r="F44" s="1" t="s">
        <v>60</v>
      </c>
      <c r="G44" s="1"/>
      <c r="H44" s="2">
        <f t="shared" si="1"/>
        <v>60</v>
      </c>
      <c r="I44" s="1"/>
      <c r="J44" s="1"/>
      <c r="K44" s="1"/>
      <c r="L44" s="1"/>
      <c r="M44" s="1"/>
      <c r="N44" s="1"/>
      <c r="O44" s="1"/>
      <c r="P44" s="1"/>
      <c r="Q44" s="1"/>
      <c r="R44" s="1"/>
      <c r="S44" s="1">
        <v>30</v>
      </c>
      <c r="T44" s="1"/>
      <c r="U44" s="1"/>
      <c r="V44" s="1"/>
      <c r="W44" s="1"/>
      <c r="X44" s="1"/>
      <c r="Y44" s="1"/>
      <c r="Z44" s="1"/>
      <c r="AA44" s="1"/>
      <c r="AB44" s="1"/>
      <c r="AC44" s="1"/>
      <c r="AD44" s="1"/>
      <c r="AE44" s="1"/>
      <c r="AF44" s="1"/>
      <c r="AG44" s="1"/>
      <c r="AH44" s="1"/>
      <c r="AI44" s="1"/>
      <c r="AJ44" s="1"/>
      <c r="AK44" s="1"/>
      <c r="AL44" s="1"/>
      <c r="AM44" s="1"/>
      <c r="AN44" s="1"/>
      <c r="AO44" s="1"/>
      <c r="AP44" s="1">
        <v>30</v>
      </c>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2"/>
      <c r="CE44" s="2"/>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1"/>
      <c r="EK44" s="1"/>
      <c r="EL44" s="1"/>
      <c r="EM44" s="1"/>
      <c r="EN44" s="1"/>
      <c r="EO44" s="1"/>
      <c r="EP44" s="1"/>
      <c r="EQ44" s="1"/>
      <c r="ER44" s="1"/>
      <c r="ES44" s="1"/>
      <c r="ET44" s="1"/>
      <c r="EU44" s="2"/>
      <c r="EV44" s="2"/>
      <c r="EW44" s="2"/>
    </row>
    <row r="45" spans="1:153"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c r="AF45" s="1"/>
      <c r="AG45" s="1">
        <v>10</v>
      </c>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2"/>
      <c r="CE45" s="2"/>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1"/>
      <c r="EK45" s="1"/>
      <c r="EL45" s="1"/>
      <c r="EM45" s="1"/>
      <c r="EN45" s="1"/>
      <c r="EO45" s="1"/>
      <c r="EP45" s="1"/>
      <c r="EQ45" s="1"/>
      <c r="ER45" s="1"/>
      <c r="ES45" s="1"/>
      <c r="ET45" s="1"/>
      <c r="EU45" s="2"/>
      <c r="EV45" s="2"/>
      <c r="EW45" s="2"/>
    </row>
    <row r="46" spans="1:153"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c r="X46" s="1">
        <v>60</v>
      </c>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v>15</v>
      </c>
      <c r="BF46" s="1">
        <v>60</v>
      </c>
      <c r="BG46" s="1"/>
      <c r="BH46" s="1"/>
      <c r="BI46" s="1"/>
      <c r="BJ46" s="1"/>
      <c r="BK46" s="1"/>
      <c r="BL46" s="1"/>
      <c r="BM46" s="1"/>
      <c r="BN46" s="1"/>
      <c r="BO46" s="1"/>
      <c r="BP46" s="1"/>
      <c r="BQ46" s="1"/>
      <c r="BR46" s="1"/>
      <c r="BS46" s="1"/>
      <c r="BT46" s="1"/>
      <c r="BU46" s="1"/>
      <c r="BV46" s="1"/>
      <c r="BW46" s="1"/>
      <c r="BX46" s="1"/>
      <c r="BY46" s="1"/>
      <c r="BZ46" s="1"/>
      <c r="CA46" s="1"/>
      <c r="CB46" s="1"/>
      <c r="CC46" s="1"/>
      <c r="CD46" s="2"/>
      <c r="CE46" s="2"/>
      <c r="CF46" s="1"/>
      <c r="CG46" s="1"/>
      <c r="CH46" s="1"/>
      <c r="CI46" s="1">
        <v>30</v>
      </c>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1"/>
      <c r="EK46" s="1"/>
      <c r="EL46" s="1"/>
      <c r="EM46" s="1"/>
      <c r="EN46" s="1"/>
      <c r="EO46" s="1"/>
      <c r="EP46" s="1"/>
      <c r="EQ46" s="1"/>
      <c r="ER46" s="1"/>
      <c r="ES46" s="1"/>
      <c r="ET46" s="1"/>
      <c r="EU46" s="2"/>
      <c r="EV46" s="2"/>
      <c r="EW46" s="2"/>
    </row>
    <row r="47" spans="1:153"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v>30</v>
      </c>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v>120</v>
      </c>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c r="EV47" s="2"/>
      <c r="EW47" s="2"/>
    </row>
    <row r="48" spans="1:153"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v>30</v>
      </c>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2"/>
      <c r="CE48" s="2"/>
      <c r="CF48" s="1"/>
      <c r="CG48" s="1"/>
      <c r="CH48" s="1"/>
      <c r="CI48" s="1"/>
      <c r="CJ48" s="1"/>
      <c r="CK48" s="1"/>
      <c r="CL48" s="1"/>
      <c r="CM48" s="1"/>
      <c r="CN48" s="1"/>
      <c r="CO48" s="1"/>
      <c r="CP48" s="1"/>
      <c r="CQ48" s="1"/>
      <c r="CR48" s="1">
        <v>200</v>
      </c>
      <c r="CS48" s="1"/>
      <c r="CT48" s="1"/>
      <c r="CU48" s="1"/>
      <c r="CV48" s="1"/>
      <c r="CW48" s="1"/>
      <c r="CX48" s="1"/>
      <c r="CY48" s="1"/>
      <c r="CZ48" s="1"/>
      <c r="DA48" s="1"/>
      <c r="DB48" s="1"/>
      <c r="DC48" s="1"/>
      <c r="DD48" s="1"/>
      <c r="DE48" s="1"/>
      <c r="DF48" s="1"/>
      <c r="DG48" s="1"/>
      <c r="DH48" s="1"/>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1"/>
      <c r="EK48" s="1"/>
      <c r="EL48" s="1"/>
      <c r="EM48" s="1"/>
      <c r="EN48" s="1"/>
      <c r="EO48" s="1"/>
      <c r="EP48" s="1"/>
      <c r="EQ48" s="1"/>
      <c r="ER48" s="1"/>
      <c r="ES48" s="1"/>
      <c r="ET48" s="1"/>
      <c r="EU48" s="2"/>
      <c r="EV48" s="2"/>
      <c r="EW48" s="2"/>
    </row>
    <row r="49" spans="1:153"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c r="X49" s="1">
        <v>60</v>
      </c>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v>15</v>
      </c>
      <c r="BF49" s="1">
        <v>60</v>
      </c>
      <c r="BG49" s="1"/>
      <c r="BH49" s="1"/>
      <c r="BI49" s="1"/>
      <c r="BJ49" s="1"/>
      <c r="BK49" s="1"/>
      <c r="BL49" s="1"/>
      <c r="BM49" s="1"/>
      <c r="BN49" s="1"/>
      <c r="BO49" s="1"/>
      <c r="BP49" s="1"/>
      <c r="BQ49" s="1"/>
      <c r="BR49" s="1"/>
      <c r="BS49" s="1"/>
      <c r="BT49" s="1"/>
      <c r="BU49" s="1"/>
      <c r="BV49" s="1"/>
      <c r="BW49" s="1"/>
      <c r="BX49" s="1"/>
      <c r="BY49" s="1"/>
      <c r="BZ49" s="1"/>
      <c r="CA49" s="1"/>
      <c r="CB49" s="1"/>
      <c r="CC49" s="1"/>
      <c r="CD49" s="2"/>
      <c r="CE49" s="2"/>
      <c r="CF49" s="1"/>
      <c r="CG49" s="1"/>
      <c r="CH49" s="1">
        <v>30</v>
      </c>
      <c r="CI49" s="1"/>
      <c r="CJ49" s="1"/>
      <c r="CK49" s="1"/>
      <c r="CL49" s="1"/>
      <c r="CM49" s="1"/>
      <c r="CN49" s="1"/>
      <c r="CO49" s="1"/>
      <c r="CP49" s="1"/>
      <c r="CQ49" s="1"/>
      <c r="CR49" s="1"/>
      <c r="CS49" s="1"/>
      <c r="CT49" s="1"/>
      <c r="CU49" s="1"/>
      <c r="CV49" s="1"/>
      <c r="CW49" s="1">
        <v>30</v>
      </c>
      <c r="CX49" s="1"/>
      <c r="CY49" s="1"/>
      <c r="CZ49" s="1"/>
      <c r="DA49" s="1"/>
      <c r="DB49" s="1"/>
      <c r="DC49" s="1"/>
      <c r="DD49" s="1"/>
      <c r="DE49" s="1"/>
      <c r="DF49" s="1"/>
      <c r="DG49" s="1"/>
      <c r="DH49" s="1"/>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1"/>
      <c r="EK49" s="1"/>
      <c r="EL49" s="1"/>
      <c r="EM49" s="1"/>
      <c r="EN49" s="1"/>
      <c r="EO49" s="1"/>
      <c r="EP49" s="1"/>
      <c r="EQ49" s="1"/>
      <c r="ER49" s="1"/>
      <c r="ES49" s="1"/>
      <c r="ET49" s="1"/>
      <c r="EU49" s="2"/>
      <c r="EV49" s="2"/>
      <c r="EW49" s="2"/>
    </row>
    <row r="50" spans="1:153" x14ac:dyDescent="0.25">
      <c r="A50" s="1" t="s">
        <v>483</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c r="X50" s="1">
        <v>90</v>
      </c>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v>90</v>
      </c>
      <c r="BG50" s="1"/>
      <c r="BH50" s="1"/>
      <c r="BI50" s="1"/>
      <c r="BJ50" s="1"/>
      <c r="BK50" s="1"/>
      <c r="BL50" s="1"/>
      <c r="BM50" s="1"/>
      <c r="BN50" s="1"/>
      <c r="BO50" s="1"/>
      <c r="BP50" s="1"/>
      <c r="BQ50" s="1"/>
      <c r="BR50" s="1"/>
      <c r="BS50" s="1"/>
      <c r="BT50" s="1"/>
      <c r="BU50" s="1"/>
      <c r="BV50" s="1"/>
      <c r="BW50" s="1"/>
      <c r="BX50" s="1"/>
      <c r="BY50" s="1"/>
      <c r="BZ50" s="1"/>
      <c r="CA50" s="1"/>
      <c r="CB50" s="1"/>
      <c r="CC50" s="1"/>
      <c r="CD50" s="2"/>
      <c r="CE50" s="2"/>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2"/>
      <c r="DJ50" s="2"/>
      <c r="DK50" s="2"/>
      <c r="DL50" s="2"/>
      <c r="DM50" s="2"/>
      <c r="DN50" s="2"/>
      <c r="DO50" s="2"/>
      <c r="DP50" s="2"/>
      <c r="DQ50" s="2"/>
      <c r="DR50" s="2"/>
      <c r="DS50" s="2"/>
      <c r="DT50" s="2"/>
      <c r="DU50" s="2"/>
      <c r="DV50" s="2"/>
      <c r="DW50" s="2"/>
      <c r="DX50" s="2"/>
      <c r="DY50" s="2"/>
      <c r="DZ50" s="2"/>
      <c r="EA50" s="2"/>
      <c r="EB50" s="2">
        <v>1</v>
      </c>
      <c r="EC50" s="2"/>
      <c r="ED50" s="2"/>
      <c r="EE50" s="2"/>
      <c r="EF50" s="2"/>
      <c r="EG50" s="2"/>
      <c r="EH50" s="2"/>
      <c r="EI50" s="2">
        <v>1</v>
      </c>
      <c r="EJ50" s="1"/>
      <c r="EK50" s="1"/>
      <c r="EL50" s="1"/>
      <c r="EM50" s="1"/>
      <c r="EN50" s="1"/>
      <c r="EO50" s="1"/>
      <c r="EP50" s="1"/>
      <c r="EQ50" s="1"/>
      <c r="ER50" s="1"/>
      <c r="ES50" s="1"/>
      <c r="ET50" s="1"/>
      <c r="EU50" s="2"/>
      <c r="EV50" s="2"/>
      <c r="EW50" s="2"/>
    </row>
    <row r="51" spans="1:153" x14ac:dyDescent="0.25">
      <c r="A51" s="1" t="s">
        <v>496</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v>30</v>
      </c>
      <c r="BA51" s="1"/>
      <c r="BB51" s="1"/>
      <c r="BC51" s="1"/>
      <c r="BD51" s="1"/>
      <c r="BE51" s="1"/>
      <c r="BF51" s="1"/>
      <c r="BG51" s="1"/>
      <c r="BH51" s="1"/>
      <c r="BI51" s="1"/>
      <c r="BJ51" s="1"/>
      <c r="BK51" s="1"/>
      <c r="BL51" s="1"/>
      <c r="BM51" s="1"/>
      <c r="BN51" s="1"/>
      <c r="BO51" s="1"/>
      <c r="BP51" s="1"/>
      <c r="BQ51" s="1"/>
      <c r="BR51" s="1"/>
      <c r="BS51" s="1"/>
      <c r="BT51" s="1"/>
      <c r="BU51" s="1"/>
      <c r="BV51" s="1"/>
      <c r="BW51" s="1"/>
      <c r="BX51" s="1"/>
      <c r="BY51" s="1">
        <v>30</v>
      </c>
      <c r="BZ51" s="1"/>
      <c r="CA51" s="1"/>
      <c r="CB51" s="1"/>
      <c r="CC51" s="1"/>
      <c r="CD51" s="2"/>
      <c r="CE51" s="2"/>
      <c r="CF51" s="1"/>
      <c r="CG51" s="1"/>
      <c r="CH51" s="1">
        <v>15</v>
      </c>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1"/>
      <c r="EK51" s="1"/>
      <c r="EL51" s="1"/>
      <c r="EM51" s="1"/>
      <c r="EN51" s="1"/>
      <c r="EO51" s="1"/>
      <c r="EP51" s="1"/>
      <c r="EQ51" s="1"/>
      <c r="ER51" s="1"/>
      <c r="ES51" s="1"/>
      <c r="ET51" s="1"/>
      <c r="EU51" s="2"/>
      <c r="EV51" s="2"/>
      <c r="EW51" s="2"/>
    </row>
    <row r="52" spans="1:153"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v>15</v>
      </c>
      <c r="AY52" s="1"/>
      <c r="AZ52" s="1"/>
      <c r="BA52" s="1"/>
      <c r="BB52" s="1"/>
      <c r="BC52" s="1"/>
      <c r="BD52" s="1"/>
      <c r="BE52" s="1">
        <v>30</v>
      </c>
      <c r="BF52" s="1"/>
      <c r="BG52" s="1"/>
      <c r="BH52" s="1"/>
      <c r="BI52" s="1"/>
      <c r="BJ52" s="1"/>
      <c r="BK52" s="1"/>
      <c r="BL52" s="1"/>
      <c r="BM52" s="1"/>
      <c r="BN52" s="1"/>
      <c r="BO52" s="1"/>
      <c r="BP52" s="1"/>
      <c r="BQ52" s="1"/>
      <c r="BR52" s="1"/>
      <c r="BS52" s="1"/>
      <c r="BT52" s="1">
        <v>30</v>
      </c>
      <c r="BU52" s="1"/>
      <c r="BV52" s="1"/>
      <c r="BW52" s="1"/>
      <c r="BX52" s="1"/>
      <c r="BY52" s="1"/>
      <c r="BZ52" s="1"/>
      <c r="CA52" s="1"/>
      <c r="CB52" s="1"/>
      <c r="CC52" s="1"/>
      <c r="CD52" s="2"/>
      <c r="CE52" s="2"/>
      <c r="CF52" s="1"/>
      <c r="CG52" s="1"/>
      <c r="CH52" s="1"/>
      <c r="CI52" s="1"/>
      <c r="CJ52" s="1"/>
      <c r="CK52" s="1">
        <v>15</v>
      </c>
      <c r="CL52" s="1"/>
      <c r="CM52" s="1"/>
      <c r="CN52" s="1"/>
      <c r="CO52" s="1"/>
      <c r="CP52" s="1"/>
      <c r="CQ52" s="1"/>
      <c r="CR52" s="1"/>
      <c r="CS52" s="1"/>
      <c r="CT52" s="1"/>
      <c r="CU52" s="1"/>
      <c r="CV52" s="1"/>
      <c r="CW52" s="1"/>
      <c r="CX52" s="1"/>
      <c r="CY52" s="1"/>
      <c r="CZ52" s="1"/>
      <c r="DA52" s="1"/>
      <c r="DB52" s="1">
        <v>30</v>
      </c>
      <c r="DC52" s="1"/>
      <c r="DD52" s="1"/>
      <c r="DE52" s="1"/>
      <c r="DF52" s="1"/>
      <c r="DG52" s="1"/>
      <c r="DH52" s="1"/>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1"/>
      <c r="EK52" s="1"/>
      <c r="EL52" s="1"/>
      <c r="EM52" s="1"/>
      <c r="EN52" s="1"/>
      <c r="EO52" s="1"/>
      <c r="EP52" s="1"/>
      <c r="EQ52" s="1"/>
      <c r="ER52" s="1"/>
      <c r="ES52" s="1"/>
      <c r="ET52" s="1"/>
      <c r="EU52" s="2"/>
      <c r="EV52" s="2"/>
      <c r="EW52" s="2"/>
    </row>
    <row r="53" spans="1:153" x14ac:dyDescent="0.25">
      <c r="A53" s="1" t="s">
        <v>384</v>
      </c>
      <c r="B53" s="1" t="s">
        <v>56</v>
      </c>
      <c r="C53" s="2" t="s">
        <v>63</v>
      </c>
      <c r="D53" s="2">
        <v>500</v>
      </c>
      <c r="E53" s="2"/>
      <c r="F53" s="2" t="s">
        <v>60</v>
      </c>
      <c r="G53" s="2"/>
      <c r="H53" s="2">
        <f t="shared" si="1"/>
        <v>480</v>
      </c>
      <c r="I53" s="1"/>
      <c r="J53" s="1"/>
      <c r="K53" s="1"/>
      <c r="L53" s="1"/>
      <c r="M53" s="1"/>
      <c r="N53" s="1"/>
      <c r="O53" s="1"/>
      <c r="P53" s="1"/>
      <c r="Q53" s="1"/>
      <c r="R53" s="1"/>
      <c r="S53" s="1"/>
      <c r="T53" s="1"/>
      <c r="U53" s="1"/>
      <c r="V53" s="1"/>
      <c r="W53" s="1">
        <v>240</v>
      </c>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2"/>
      <c r="CE53" s="2"/>
      <c r="CF53" s="1"/>
      <c r="CG53" s="1"/>
      <c r="CH53" s="1"/>
      <c r="CI53" s="1"/>
      <c r="CJ53" s="1"/>
      <c r="CK53" s="1"/>
      <c r="CL53" s="1"/>
      <c r="CM53" s="1"/>
      <c r="CN53" s="1"/>
      <c r="CO53" s="1"/>
      <c r="CP53" s="1"/>
      <c r="CQ53" s="1"/>
      <c r="CR53" s="1"/>
      <c r="CS53" s="1"/>
      <c r="CT53" s="1"/>
      <c r="CU53" s="1"/>
      <c r="CV53" s="1">
        <v>240</v>
      </c>
      <c r="CW53" s="1"/>
      <c r="CX53" s="1"/>
      <c r="CY53" s="1"/>
      <c r="CZ53" s="1"/>
      <c r="DA53" s="1"/>
      <c r="DB53" s="1"/>
      <c r="DC53" s="1"/>
      <c r="DD53" s="1"/>
      <c r="DE53" s="1"/>
      <c r="DF53" s="1"/>
      <c r="DG53" s="1"/>
      <c r="DH53" s="1"/>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1"/>
      <c r="EK53" s="1"/>
      <c r="EL53" s="1"/>
      <c r="EM53" s="1"/>
      <c r="EN53" s="1"/>
      <c r="EO53" s="1"/>
      <c r="EP53" s="1"/>
      <c r="EQ53" s="1"/>
      <c r="ER53" s="1"/>
      <c r="ES53" s="1"/>
      <c r="ET53" s="1"/>
      <c r="EU53" s="2"/>
      <c r="EV53" s="2"/>
      <c r="EW53" s="2"/>
    </row>
    <row r="54" spans="1:153"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c r="Y54" s="1">
        <v>90</v>
      </c>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v>15</v>
      </c>
      <c r="BF54" s="1"/>
      <c r="BG54" s="1"/>
      <c r="BH54" s="1"/>
      <c r="BI54" s="1"/>
      <c r="BJ54" s="1"/>
      <c r="BK54" s="1"/>
      <c r="BL54" s="1"/>
      <c r="BM54" s="1"/>
      <c r="BN54" s="1"/>
      <c r="BO54" s="1"/>
      <c r="BP54" s="1"/>
      <c r="BQ54" s="1"/>
      <c r="BR54" s="1"/>
      <c r="BS54" s="1"/>
      <c r="BT54" s="1"/>
      <c r="BU54" s="1"/>
      <c r="BV54" s="1"/>
      <c r="BW54" s="1"/>
      <c r="BX54" s="1">
        <v>90</v>
      </c>
      <c r="BY54" s="1"/>
      <c r="BZ54" s="1"/>
      <c r="CA54" s="1"/>
      <c r="CB54" s="1"/>
      <c r="CC54" s="1"/>
      <c r="CD54" s="2"/>
      <c r="CE54" s="2"/>
      <c r="CF54" s="1"/>
      <c r="CG54" s="1"/>
      <c r="CH54" s="1">
        <v>30</v>
      </c>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1"/>
      <c r="EK54" s="1"/>
      <c r="EL54" s="1"/>
      <c r="EM54" s="1"/>
      <c r="EN54" s="1"/>
      <c r="EO54" s="1"/>
      <c r="EP54" s="1"/>
      <c r="EQ54" s="1"/>
      <c r="ER54" s="1"/>
      <c r="ES54" s="1"/>
      <c r="ET54" s="1"/>
      <c r="EU54" s="2"/>
      <c r="EV54" s="2"/>
      <c r="EW54" s="2"/>
    </row>
    <row r="55" spans="1:153"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v>30</v>
      </c>
      <c r="BF55" s="2"/>
      <c r="BG55" s="2"/>
      <c r="BH55" s="2"/>
      <c r="BI55" s="2"/>
      <c r="BJ55" s="2"/>
      <c r="BK55" s="2"/>
      <c r="BL55" s="2"/>
      <c r="BM55" s="2"/>
      <c r="BN55" s="2"/>
      <c r="BO55" s="2"/>
      <c r="BP55" s="2">
        <v>30</v>
      </c>
      <c r="BQ55" s="2"/>
      <c r="BR55" s="2"/>
      <c r="BS55" s="2"/>
      <c r="BT55" s="2">
        <v>30</v>
      </c>
      <c r="BU55" s="2"/>
      <c r="BV55" s="2"/>
      <c r="BW55" s="2"/>
      <c r="BX55" s="2"/>
      <c r="BY55" s="2"/>
      <c r="BZ55" s="2"/>
      <c r="CA55" s="2"/>
      <c r="CB55" s="2"/>
      <c r="CC55" s="2"/>
      <c r="CD55" s="2"/>
      <c r="CE55" s="2"/>
      <c r="CF55" s="2"/>
      <c r="CG55" s="2"/>
      <c r="CH55" s="2">
        <v>30</v>
      </c>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c r="EV55" s="2"/>
      <c r="EW55" s="2"/>
    </row>
    <row r="56" spans="1:153" x14ac:dyDescent="0.25">
      <c r="A56" s="1" t="s">
        <v>396</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v>60</v>
      </c>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v>120</v>
      </c>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c r="EV56" s="2"/>
      <c r="EW56" s="2"/>
    </row>
    <row r="57" spans="1:153"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c r="AE57" s="1"/>
      <c r="AF57" s="1">
        <v>60</v>
      </c>
      <c r="AG57" s="1"/>
      <c r="AH57" s="1"/>
      <c r="AI57" s="1"/>
      <c r="AJ57" s="1"/>
      <c r="AK57" s="1"/>
      <c r="AL57" s="1"/>
      <c r="AM57" s="1"/>
      <c r="AN57" s="1"/>
      <c r="AO57" s="1"/>
      <c r="AP57" s="1"/>
      <c r="AQ57" s="1"/>
      <c r="AR57" s="1"/>
      <c r="AS57" s="1"/>
      <c r="AT57" s="1">
        <v>30</v>
      </c>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2"/>
      <c r="CE57" s="2"/>
      <c r="CF57" s="1"/>
      <c r="CG57" s="1"/>
      <c r="CH57" s="1"/>
      <c r="CI57" s="1"/>
      <c r="CJ57" s="1"/>
      <c r="CK57" s="1"/>
      <c r="CL57" s="1"/>
      <c r="CM57" s="1"/>
      <c r="CN57" s="1"/>
      <c r="CO57" s="1"/>
      <c r="CP57" s="1"/>
      <c r="CQ57" s="1"/>
      <c r="CR57" s="1"/>
      <c r="CS57" s="1"/>
      <c r="CT57" s="1"/>
      <c r="CU57" s="1"/>
      <c r="CV57" s="1"/>
      <c r="CW57" s="1"/>
      <c r="CX57" s="1"/>
      <c r="CY57" s="1"/>
      <c r="CZ57" s="1"/>
      <c r="DA57" s="1"/>
      <c r="DB57" s="1">
        <v>60</v>
      </c>
      <c r="DC57" s="1"/>
      <c r="DD57" s="1"/>
      <c r="DE57" s="1"/>
      <c r="DF57" s="1"/>
      <c r="DG57" s="1"/>
      <c r="DH57" s="1"/>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1"/>
      <c r="EK57" s="1"/>
      <c r="EL57" s="1"/>
      <c r="EM57" s="1"/>
      <c r="EN57" s="1"/>
      <c r="EO57" s="1"/>
      <c r="EP57" s="1"/>
      <c r="EQ57" s="1"/>
      <c r="ER57" s="1"/>
      <c r="ES57" s="1"/>
      <c r="ET57" s="1"/>
      <c r="EU57" s="2"/>
      <c r="EV57" s="2"/>
      <c r="EW57" s="2"/>
    </row>
    <row r="58" spans="1:153"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v>30</v>
      </c>
      <c r="AS58" s="2"/>
      <c r="AT58" s="2"/>
      <c r="AU58" s="2"/>
      <c r="AV58" s="2"/>
      <c r="AW58" s="2"/>
      <c r="AX58" s="2"/>
      <c r="AY58" s="2"/>
      <c r="AZ58" s="2"/>
      <c r="BA58" s="2"/>
      <c r="BB58" s="2"/>
      <c r="BC58" s="2"/>
      <c r="BD58" s="2"/>
      <c r="BE58" s="2">
        <v>30</v>
      </c>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v>15</v>
      </c>
      <c r="CI58" s="2"/>
      <c r="CJ58" s="2"/>
      <c r="CK58" s="2"/>
      <c r="CL58" s="2"/>
      <c r="CM58" s="2"/>
      <c r="CN58" s="2"/>
      <c r="CO58" s="2"/>
      <c r="CP58" s="2"/>
      <c r="CQ58" s="2"/>
      <c r="CR58" s="2"/>
      <c r="CS58" s="2"/>
      <c r="CT58" s="2"/>
      <c r="CU58" s="2"/>
      <c r="CV58" s="2"/>
      <c r="CW58" s="2"/>
      <c r="CX58" s="2"/>
      <c r="CY58" s="2"/>
      <c r="CZ58" s="2">
        <v>15</v>
      </c>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v>1</v>
      </c>
      <c r="EK58" s="2"/>
      <c r="EL58" s="2"/>
      <c r="EM58" s="2"/>
      <c r="EN58" s="2"/>
      <c r="EO58" s="2"/>
      <c r="EP58" s="2"/>
      <c r="EQ58" s="2"/>
      <c r="ER58" s="2"/>
      <c r="ES58" s="2"/>
      <c r="ET58" s="2"/>
      <c r="EU58" s="2"/>
      <c r="EV58" s="2"/>
      <c r="EW58" s="2"/>
    </row>
    <row r="59" spans="1:153"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c r="Z59" s="1">
        <v>60</v>
      </c>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v>15</v>
      </c>
      <c r="BF59" s="1"/>
      <c r="BG59" s="1"/>
      <c r="BH59" s="1"/>
      <c r="BI59" s="1"/>
      <c r="BJ59" s="1"/>
      <c r="BK59" s="1"/>
      <c r="BL59" s="1"/>
      <c r="BM59" s="1"/>
      <c r="BN59" s="1"/>
      <c r="BO59" s="1"/>
      <c r="BP59" s="1"/>
      <c r="BQ59" s="1"/>
      <c r="BR59" s="1"/>
      <c r="BS59" s="1"/>
      <c r="BT59" s="1"/>
      <c r="BU59" s="1"/>
      <c r="BV59" s="1"/>
      <c r="BW59" s="1"/>
      <c r="BX59" s="1"/>
      <c r="BY59" s="1"/>
      <c r="BZ59" s="1"/>
      <c r="CA59" s="1"/>
      <c r="CB59" s="1"/>
      <c r="CC59" s="1"/>
      <c r="CD59" s="2"/>
      <c r="CE59" s="2"/>
      <c r="CF59" s="1"/>
      <c r="CG59" s="1"/>
      <c r="CH59" s="1">
        <v>15</v>
      </c>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1"/>
      <c r="EK59" s="1"/>
      <c r="EL59" s="1"/>
      <c r="EM59" s="1"/>
      <c r="EN59" s="1"/>
      <c r="EO59" s="1"/>
      <c r="EP59" s="1"/>
      <c r="EQ59" s="1"/>
      <c r="ER59" s="1"/>
      <c r="ES59" s="1"/>
      <c r="ET59" s="1"/>
      <c r="EU59" s="2"/>
      <c r="EV59" s="2"/>
      <c r="EW59" s="2"/>
    </row>
    <row r="60" spans="1:153"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v>45</v>
      </c>
      <c r="AL60" s="1"/>
      <c r="AM60" s="1"/>
      <c r="AN60" s="1"/>
      <c r="AO60" s="1"/>
      <c r="AP60" s="1"/>
      <c r="AQ60" s="1"/>
      <c r="AR60" s="1"/>
      <c r="AS60" s="1"/>
      <c r="AT60" s="1"/>
      <c r="AU60" s="1"/>
      <c r="AV60" s="1"/>
      <c r="AW60" s="1"/>
      <c r="AX60" s="1"/>
      <c r="AY60" s="1"/>
      <c r="AZ60" s="1"/>
      <c r="BA60" s="1"/>
      <c r="BB60" s="1"/>
      <c r="BC60" s="1"/>
      <c r="BD60" s="1"/>
      <c r="BE60" s="1"/>
      <c r="BF60" s="1">
        <v>120</v>
      </c>
      <c r="BG60" s="1"/>
      <c r="BH60" s="1"/>
      <c r="BI60" s="1"/>
      <c r="BJ60" s="1"/>
      <c r="BK60" s="1"/>
      <c r="BL60" s="1"/>
      <c r="BM60" s="1"/>
      <c r="BN60" s="1"/>
      <c r="BO60" s="1"/>
      <c r="BP60" s="1"/>
      <c r="BQ60" s="1"/>
      <c r="BR60" s="1"/>
      <c r="BS60" s="1"/>
      <c r="BT60" s="1"/>
      <c r="BU60" s="1"/>
      <c r="BV60" s="1"/>
      <c r="BW60" s="1"/>
      <c r="BX60" s="1"/>
      <c r="BY60" s="1"/>
      <c r="BZ60" s="1"/>
      <c r="CA60" s="1"/>
      <c r="CB60" s="1"/>
      <c r="CC60" s="1"/>
      <c r="CD60" s="2"/>
      <c r="CE60" s="2"/>
      <c r="CF60" s="1"/>
      <c r="CG60" s="1"/>
      <c r="CH60" s="1">
        <v>15</v>
      </c>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1"/>
      <c r="EK60" s="1"/>
      <c r="EL60" s="1"/>
      <c r="EM60" s="1"/>
      <c r="EN60" s="1"/>
      <c r="EO60" s="1"/>
      <c r="EP60" s="1"/>
      <c r="EQ60" s="1"/>
      <c r="ER60" s="1"/>
      <c r="ES60" s="1"/>
      <c r="ET60" s="1"/>
      <c r="EU60" s="2"/>
      <c r="EV60" s="2"/>
      <c r="EW60" s="2"/>
    </row>
    <row r="61" spans="1:153"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v>30</v>
      </c>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v>30</v>
      </c>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c r="EV61" s="2"/>
      <c r="EW61" s="2"/>
    </row>
    <row r="62" spans="1:153"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v>180</v>
      </c>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c r="EV62" s="2"/>
      <c r="EW62" s="2"/>
    </row>
    <row r="63" spans="1:153"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v>180</v>
      </c>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c r="EV63" s="2"/>
      <c r="EW63" s="2"/>
    </row>
    <row r="64" spans="1:153" x14ac:dyDescent="0.25">
      <c r="A64" s="1" t="s">
        <v>696</v>
      </c>
      <c r="B64" s="1" t="s">
        <v>50</v>
      </c>
      <c r="C64" s="2" t="s">
        <v>63</v>
      </c>
      <c r="D64" s="2">
        <v>400</v>
      </c>
      <c r="E64" s="2">
        <v>160</v>
      </c>
      <c r="F64" s="2" t="s">
        <v>59</v>
      </c>
      <c r="G64" s="2">
        <v>240</v>
      </c>
      <c r="H64" s="2">
        <f t="shared" si="1"/>
        <v>195</v>
      </c>
      <c r="I64" s="2"/>
      <c r="J64" s="2"/>
      <c r="K64" s="2"/>
      <c r="L64" s="2"/>
      <c r="M64" s="2"/>
      <c r="N64" s="2"/>
      <c r="O64" s="2"/>
      <c r="P64" s="2">
        <v>60</v>
      </c>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v>15</v>
      </c>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v>120</v>
      </c>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c r="EV64" s="2"/>
      <c r="EW64" s="2"/>
    </row>
    <row r="65" spans="1:153" x14ac:dyDescent="0.25">
      <c r="A65" s="1" t="s">
        <v>29</v>
      </c>
      <c r="B65" s="1" t="s">
        <v>55</v>
      </c>
      <c r="C65" s="2" t="s">
        <v>62</v>
      </c>
      <c r="D65" s="2">
        <v>200</v>
      </c>
      <c r="E65" s="2"/>
      <c r="F65" s="2" t="s">
        <v>60</v>
      </c>
      <c r="G65" s="2"/>
      <c r="H65" s="2">
        <f t="shared" si="1"/>
        <v>165</v>
      </c>
      <c r="I65" s="2"/>
      <c r="J65" s="2"/>
      <c r="K65" s="2"/>
      <c r="L65" s="2"/>
      <c r="M65" s="2"/>
      <c r="N65" s="2"/>
      <c r="O65" s="2"/>
      <c r="P65" s="2"/>
      <c r="Q65" s="2">
        <v>30</v>
      </c>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v>30</v>
      </c>
      <c r="BD65" s="2"/>
      <c r="BE65" s="2">
        <v>15</v>
      </c>
      <c r="BF65" s="2"/>
      <c r="BG65" s="2">
        <v>75</v>
      </c>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v>15</v>
      </c>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c r="EV65" s="2"/>
      <c r="EW65" s="2"/>
    </row>
    <row r="66" spans="1:153" x14ac:dyDescent="0.25">
      <c r="A66" s="1" t="s">
        <v>533</v>
      </c>
      <c r="B66" s="1" t="s">
        <v>49</v>
      </c>
      <c r="C66" s="2" t="s">
        <v>63</v>
      </c>
      <c r="D66" s="2">
        <v>500</v>
      </c>
      <c r="E66" s="2">
        <v>200</v>
      </c>
      <c r="F66" s="2" t="s">
        <v>59</v>
      </c>
      <c r="G66" s="2">
        <v>300</v>
      </c>
      <c r="H66" s="2">
        <f t="shared" ref="H66:H97" si="2">SUM(I66:DF66)</f>
        <v>240</v>
      </c>
      <c r="I66" s="1"/>
      <c r="J66" s="1"/>
      <c r="K66" s="1"/>
      <c r="L66" s="1"/>
      <c r="M66" s="1"/>
      <c r="N66" s="1"/>
      <c r="O66" s="1"/>
      <c r="P66" s="1"/>
      <c r="Q66" s="1"/>
      <c r="R66" s="1"/>
      <c r="S66" s="1"/>
      <c r="T66" s="1"/>
      <c r="U66" s="1"/>
      <c r="V66" s="1"/>
      <c r="W66" s="1"/>
      <c r="X66" s="1"/>
      <c r="Y66" s="1"/>
      <c r="Z66" s="2">
        <v>135</v>
      </c>
      <c r="AA66" s="2"/>
      <c r="AB66" s="2"/>
      <c r="AC66" s="2"/>
      <c r="AD66" s="2"/>
      <c r="AE66" s="1"/>
      <c r="AF66" s="1"/>
      <c r="AG66" s="1"/>
      <c r="AH66" s="1"/>
      <c r="AI66" s="1"/>
      <c r="AJ66" s="1"/>
      <c r="AK66" s="1"/>
      <c r="AL66" s="1"/>
      <c r="AM66" s="1"/>
      <c r="AN66" s="1"/>
      <c r="AO66" s="1"/>
      <c r="AP66" s="1"/>
      <c r="AQ66" s="1"/>
      <c r="AR66" s="1"/>
      <c r="AS66" s="1"/>
      <c r="AT66" s="1"/>
      <c r="AU66" s="1"/>
      <c r="AV66" s="1"/>
      <c r="AW66" s="1"/>
      <c r="AX66" s="1">
        <v>45</v>
      </c>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2"/>
      <c r="CE66" s="2"/>
      <c r="CF66" s="1"/>
      <c r="CG66" s="1"/>
      <c r="CH66" s="1"/>
      <c r="CI66" s="1"/>
      <c r="CJ66" s="1"/>
      <c r="CK66" s="1"/>
      <c r="CL66" s="1"/>
      <c r="CM66" s="1"/>
      <c r="CN66" s="1"/>
      <c r="CO66" s="1"/>
      <c r="CP66" s="1"/>
      <c r="CQ66" s="1"/>
      <c r="CR66" s="1"/>
      <c r="CS66" s="1"/>
      <c r="CT66" s="1"/>
      <c r="CU66" s="1"/>
      <c r="CV66" s="1"/>
      <c r="CW66" s="1"/>
      <c r="CX66" s="1"/>
      <c r="CY66" s="1"/>
      <c r="CZ66" s="1"/>
      <c r="DA66" s="1"/>
      <c r="DB66" s="1">
        <v>60</v>
      </c>
      <c r="DC66" s="1"/>
      <c r="DD66" s="1"/>
      <c r="DE66" s="1"/>
      <c r="DF66" s="1"/>
      <c r="DG66" s="1"/>
      <c r="DH66" s="1"/>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1"/>
      <c r="EK66" s="1"/>
      <c r="EL66" s="1"/>
      <c r="EM66" s="1"/>
      <c r="EN66" s="1"/>
      <c r="EO66" s="1"/>
      <c r="EP66" s="1"/>
      <c r="EQ66" s="1"/>
      <c r="ER66" s="1"/>
      <c r="ES66" s="1"/>
      <c r="ET66" s="1"/>
      <c r="EU66" s="2"/>
      <c r="EV66" s="2"/>
      <c r="EW66" s="2"/>
    </row>
    <row r="67" spans="1:153"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v>15</v>
      </c>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v>180</v>
      </c>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c r="EV67" s="2"/>
      <c r="EW67" s="2"/>
    </row>
    <row r="68" spans="1:153"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v>30</v>
      </c>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v>30</v>
      </c>
      <c r="CP68" s="2"/>
      <c r="CQ68" s="2"/>
      <c r="CR68" s="2"/>
      <c r="CS68" s="2"/>
      <c r="CT68" s="2"/>
      <c r="CU68" s="2"/>
      <c r="CV68" s="2"/>
      <c r="CW68" s="2"/>
      <c r="CX68" s="2"/>
      <c r="CY68" s="2"/>
      <c r="CZ68" s="2"/>
      <c r="DA68" s="2"/>
      <c r="DB68" s="2">
        <v>30</v>
      </c>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c r="EV68" s="2"/>
      <c r="EW68" s="2"/>
    </row>
    <row r="69" spans="1:153" x14ac:dyDescent="0.25">
      <c r="A69" s="1" t="s">
        <v>431</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v>30</v>
      </c>
      <c r="BF69" s="1"/>
      <c r="BG69" s="1"/>
      <c r="BH69" s="1"/>
      <c r="BI69" s="1"/>
      <c r="BJ69" s="1"/>
      <c r="BK69" s="1"/>
      <c r="BL69" s="1"/>
      <c r="BM69" s="1"/>
      <c r="BN69" s="1"/>
      <c r="BO69" s="1"/>
      <c r="BP69" s="1">
        <v>30</v>
      </c>
      <c r="BQ69" s="1"/>
      <c r="BR69" s="1"/>
      <c r="BS69" s="1"/>
      <c r="BT69" s="1"/>
      <c r="BU69" s="1"/>
      <c r="BV69" s="1"/>
      <c r="BW69" s="1"/>
      <c r="BX69" s="1"/>
      <c r="BY69" s="1"/>
      <c r="BZ69" s="1"/>
      <c r="CA69" s="1"/>
      <c r="CB69" s="1"/>
      <c r="CC69" s="1"/>
      <c r="CD69" s="2"/>
      <c r="CE69" s="2"/>
      <c r="CF69" s="1"/>
      <c r="CG69" s="1"/>
      <c r="CH69" s="1"/>
      <c r="CI69" s="1"/>
      <c r="CJ69" s="1"/>
      <c r="CK69" s="1"/>
      <c r="CL69" s="1"/>
      <c r="CM69" s="1"/>
      <c r="CN69" s="1">
        <v>30</v>
      </c>
      <c r="CO69" s="1"/>
      <c r="CP69" s="1"/>
      <c r="CQ69" s="1"/>
      <c r="CR69" s="1"/>
      <c r="CS69" s="1"/>
      <c r="CT69" s="1"/>
      <c r="CU69" s="1"/>
      <c r="CV69" s="1"/>
      <c r="CW69" s="1"/>
      <c r="CX69" s="1"/>
      <c r="CY69" s="1"/>
      <c r="CZ69" s="1"/>
      <c r="DA69" s="1"/>
      <c r="DB69" s="1"/>
      <c r="DC69" s="1"/>
      <c r="DD69" s="1"/>
      <c r="DE69" s="1"/>
      <c r="DF69" s="1"/>
      <c r="DG69" s="1"/>
      <c r="DH69" s="1"/>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1"/>
      <c r="EK69" s="1"/>
      <c r="EL69" s="1"/>
      <c r="EM69" s="1"/>
      <c r="EN69" s="1"/>
      <c r="EO69" s="1"/>
      <c r="EP69" s="1"/>
      <c r="EQ69" s="1"/>
      <c r="ER69" s="1"/>
      <c r="ES69" s="1"/>
      <c r="ET69" s="1"/>
      <c r="EU69" s="2"/>
      <c r="EV69" s="2"/>
      <c r="EW69" s="2"/>
    </row>
    <row r="70" spans="1:153" x14ac:dyDescent="0.25">
      <c r="A70" s="1" t="s">
        <v>399</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v>30</v>
      </c>
      <c r="BF70" s="1"/>
      <c r="BG70" s="1"/>
      <c r="BH70" s="1"/>
      <c r="BI70" s="1"/>
      <c r="BJ70" s="1"/>
      <c r="BK70" s="1"/>
      <c r="BL70" s="1"/>
      <c r="BM70" s="1"/>
      <c r="BN70" s="1"/>
      <c r="BO70" s="1"/>
      <c r="BP70" s="1"/>
      <c r="BQ70" s="1"/>
      <c r="BR70" s="1"/>
      <c r="BS70" s="1"/>
      <c r="BT70" s="1">
        <v>30</v>
      </c>
      <c r="BU70" s="1"/>
      <c r="BV70" s="1"/>
      <c r="BW70" s="1"/>
      <c r="BX70" s="1"/>
      <c r="BY70" s="1"/>
      <c r="BZ70" s="1"/>
      <c r="CA70" s="1"/>
      <c r="CB70" s="1"/>
      <c r="CC70" s="1"/>
      <c r="CD70" s="2"/>
      <c r="CE70" s="2"/>
      <c r="CF70" s="1"/>
      <c r="CG70" s="1"/>
      <c r="CH70" s="1">
        <v>30</v>
      </c>
      <c r="CI70" s="1"/>
      <c r="CJ70" s="1"/>
      <c r="CK70" s="1"/>
      <c r="CL70" s="1"/>
      <c r="CM70" s="1"/>
      <c r="CN70" s="1"/>
      <c r="CO70" s="1"/>
      <c r="CP70" s="1"/>
      <c r="CQ70" s="1"/>
      <c r="CR70" s="1"/>
      <c r="CS70" s="1"/>
      <c r="CT70" s="1"/>
      <c r="CU70" s="1"/>
      <c r="CV70" s="1"/>
      <c r="CW70" s="1"/>
      <c r="CX70" s="1"/>
      <c r="CY70" s="1"/>
      <c r="CZ70" s="1"/>
      <c r="DA70" s="1"/>
      <c r="DB70" s="1">
        <v>30</v>
      </c>
      <c r="DC70" s="1"/>
      <c r="DD70" s="1"/>
      <c r="DE70" s="1"/>
      <c r="DF70" s="1"/>
      <c r="DG70" s="1"/>
      <c r="DH70" s="1"/>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1"/>
      <c r="EK70" s="1"/>
      <c r="EL70" s="1"/>
      <c r="EM70" s="1"/>
      <c r="EN70" s="1"/>
      <c r="EO70" s="1"/>
      <c r="EP70" s="1"/>
      <c r="EQ70" s="1"/>
      <c r="ER70" s="1"/>
      <c r="ES70" s="1"/>
      <c r="ET70" s="1"/>
      <c r="EU70" s="2"/>
      <c r="EV70" s="2"/>
      <c r="EW70" s="2"/>
    </row>
    <row r="71" spans="1:153"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v>30</v>
      </c>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v>30</v>
      </c>
      <c r="CI71" s="2"/>
      <c r="CJ71" s="2"/>
      <c r="CK71" s="2"/>
      <c r="CL71" s="2"/>
      <c r="CM71" s="2"/>
      <c r="CN71" s="2"/>
      <c r="CO71" s="2"/>
      <c r="CP71" s="2"/>
      <c r="CQ71" s="3"/>
      <c r="CR71" s="2"/>
      <c r="CS71" s="2"/>
      <c r="CT71" s="2"/>
      <c r="CU71" s="2"/>
      <c r="CV71" s="2"/>
      <c r="CW71" s="2"/>
      <c r="CX71" s="2"/>
      <c r="CY71" s="2"/>
      <c r="CZ71" s="2"/>
      <c r="DA71" s="2"/>
      <c r="DB71" s="2">
        <v>60</v>
      </c>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c r="EV71" s="2"/>
      <c r="EW71" s="2"/>
    </row>
    <row r="72" spans="1:153" x14ac:dyDescent="0.25">
      <c r="A72" s="1" t="s">
        <v>389</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c r="X72" s="1">
        <v>120</v>
      </c>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2"/>
      <c r="CE72" s="2"/>
      <c r="CF72" s="1"/>
      <c r="CG72" s="1"/>
      <c r="CH72" s="1"/>
      <c r="CI72" s="1"/>
      <c r="CJ72" s="1"/>
      <c r="CK72" s="1"/>
      <c r="CL72" s="1"/>
      <c r="CM72" s="1"/>
      <c r="CN72" s="11"/>
      <c r="CO72" s="11"/>
      <c r="CP72" s="11"/>
      <c r="CQ72" s="11"/>
      <c r="CR72" s="1"/>
      <c r="CS72" s="1"/>
      <c r="CT72" s="1">
        <v>120</v>
      </c>
      <c r="CU72" s="1"/>
      <c r="CV72" s="1"/>
      <c r="CW72" s="1"/>
      <c r="CX72" s="1"/>
      <c r="CY72" s="1"/>
      <c r="CZ72" s="1"/>
      <c r="DA72" s="1"/>
      <c r="DB72" s="1"/>
      <c r="DC72" s="1"/>
      <c r="DD72" s="1"/>
      <c r="DE72" s="1"/>
      <c r="DF72" s="1"/>
      <c r="DG72" s="1"/>
      <c r="DH72" s="1"/>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1"/>
      <c r="EK72" s="1"/>
      <c r="EL72" s="1"/>
      <c r="EM72" s="1"/>
      <c r="EN72" s="1"/>
      <c r="EO72" s="1"/>
      <c r="EP72" s="1"/>
      <c r="EQ72" s="1"/>
      <c r="ER72" s="1"/>
      <c r="ES72" s="1"/>
      <c r="ET72" s="1"/>
      <c r="EU72" s="2"/>
      <c r="EV72" s="2"/>
      <c r="EW72" s="2"/>
    </row>
    <row r="73" spans="1:153" x14ac:dyDescent="0.25">
      <c r="A73" s="1" t="s">
        <v>564</v>
      </c>
      <c r="B73" s="3" t="s">
        <v>565</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2"/>
      <c r="CE73" s="2"/>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2"/>
      <c r="DJ73" s="2">
        <v>10</v>
      </c>
      <c r="DK73" s="2"/>
      <c r="DL73" s="2"/>
      <c r="DM73" s="2"/>
      <c r="DN73" s="2"/>
      <c r="DO73" s="2"/>
      <c r="DP73" s="2"/>
      <c r="DQ73" s="2"/>
      <c r="DR73" s="2"/>
      <c r="DS73" s="2"/>
      <c r="DT73" s="2"/>
      <c r="DU73" s="2"/>
      <c r="DV73" s="2"/>
      <c r="DW73" s="2"/>
      <c r="DX73" s="2"/>
      <c r="DY73" s="2"/>
      <c r="DZ73" s="2"/>
      <c r="EA73" s="2"/>
      <c r="EB73" s="2">
        <v>1</v>
      </c>
      <c r="EC73" s="2"/>
      <c r="ED73" s="2"/>
      <c r="EE73" s="2"/>
      <c r="EF73" s="2"/>
      <c r="EG73" s="2"/>
      <c r="EH73" s="2"/>
      <c r="EI73" s="2"/>
      <c r="EJ73" s="1"/>
      <c r="EK73" s="1"/>
      <c r="EL73" s="1"/>
      <c r="EM73" s="1"/>
      <c r="EN73" s="1"/>
      <c r="EO73" s="1">
        <v>1</v>
      </c>
      <c r="EP73" s="1"/>
      <c r="EQ73" s="1"/>
      <c r="ER73" s="1"/>
      <c r="ES73" s="1"/>
      <c r="ET73" s="1"/>
      <c r="EU73" s="2"/>
      <c r="EV73" s="2"/>
      <c r="EW73" s="2"/>
    </row>
    <row r="74" spans="1:153" x14ac:dyDescent="0.25">
      <c r="A74" s="1" t="s">
        <v>705</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v>15</v>
      </c>
      <c r="BF74" s="1"/>
      <c r="BG74" s="1"/>
      <c r="BH74" s="1"/>
      <c r="BI74" s="1"/>
      <c r="BJ74" s="1"/>
      <c r="BK74" s="1"/>
      <c r="BL74" s="1"/>
      <c r="BM74" s="1"/>
      <c r="BN74" s="1"/>
      <c r="BO74" s="1"/>
      <c r="BP74" s="1"/>
      <c r="BQ74" s="1"/>
      <c r="BR74" s="1"/>
      <c r="BS74" s="1"/>
      <c r="BT74" s="1"/>
      <c r="BU74" s="1"/>
      <c r="BV74" s="1"/>
      <c r="BW74" s="1"/>
      <c r="BX74" s="1"/>
      <c r="BY74" s="1"/>
      <c r="BZ74" s="1"/>
      <c r="CA74" s="1"/>
      <c r="CB74" s="1"/>
      <c r="CC74" s="1"/>
      <c r="CD74" s="2"/>
      <c r="CE74" s="2"/>
      <c r="CF74" s="1">
        <v>90</v>
      </c>
      <c r="CG74" s="1"/>
      <c r="CH74" s="1"/>
      <c r="CI74" s="1"/>
      <c r="CJ74" s="1"/>
      <c r="CK74" s="1"/>
      <c r="CL74" s="1"/>
      <c r="CM74" s="1"/>
      <c r="CN74" s="1"/>
      <c r="CO74" s="1"/>
      <c r="CP74" s="1">
        <v>15</v>
      </c>
      <c r="CQ74" s="1"/>
      <c r="CR74" s="1"/>
      <c r="CS74" s="1">
        <v>180</v>
      </c>
      <c r="CT74" s="1"/>
      <c r="CU74" s="1"/>
      <c r="CV74" s="1"/>
      <c r="CW74" s="1"/>
      <c r="CX74" s="1"/>
      <c r="CY74" s="1"/>
      <c r="CZ74" s="1"/>
      <c r="DA74" s="1"/>
      <c r="DB74" s="1"/>
      <c r="DC74" s="1"/>
      <c r="DD74" s="1"/>
      <c r="DE74" s="1"/>
      <c r="DF74" s="1"/>
      <c r="DG74" s="1"/>
      <c r="DH74" s="1"/>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1"/>
      <c r="EK74" s="1"/>
      <c r="EL74" s="1"/>
      <c r="EM74" s="1"/>
      <c r="EN74" s="1"/>
      <c r="EO74" s="1"/>
      <c r="EP74" s="1"/>
      <c r="EQ74" s="1"/>
      <c r="ER74" s="1"/>
      <c r="ES74" s="1"/>
      <c r="ET74" s="1"/>
      <c r="EU74" s="2"/>
      <c r="EV74" s="2"/>
      <c r="EW74" s="2"/>
    </row>
    <row r="75" spans="1:153"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c r="Z75" s="1">
        <v>90</v>
      </c>
      <c r="AA75" s="1"/>
      <c r="AB75" s="1"/>
      <c r="AC75" s="1"/>
      <c r="AD75" s="1"/>
      <c r="AE75" s="1"/>
      <c r="AF75" s="1"/>
      <c r="AG75" s="1"/>
      <c r="AH75" s="1"/>
      <c r="AI75" s="1"/>
      <c r="AJ75" s="1"/>
      <c r="AK75" s="1"/>
      <c r="AL75" s="1"/>
      <c r="AM75" s="1"/>
      <c r="AN75" s="1"/>
      <c r="AO75" s="1"/>
      <c r="AP75" s="1"/>
      <c r="AQ75" s="1"/>
      <c r="AR75" s="1"/>
      <c r="AS75" s="1"/>
      <c r="AT75" s="1"/>
      <c r="AU75" s="1"/>
      <c r="AV75" s="1"/>
      <c r="AW75" s="1">
        <v>15</v>
      </c>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2"/>
      <c r="CE75" s="2"/>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1"/>
      <c r="EK75" s="1"/>
      <c r="EL75" s="1"/>
      <c r="EM75" s="1"/>
      <c r="EN75" s="1"/>
      <c r="EO75" s="1"/>
      <c r="EP75" s="1"/>
      <c r="EQ75" s="1"/>
      <c r="ER75" s="1"/>
      <c r="ES75" s="1"/>
      <c r="ET75" s="1"/>
      <c r="EU75" s="2"/>
      <c r="EV75" s="2"/>
      <c r="EW75" s="2"/>
    </row>
    <row r="76" spans="1:153" x14ac:dyDescent="0.25">
      <c r="A76" s="1" t="s">
        <v>268</v>
      </c>
      <c r="B76" s="1" t="s">
        <v>151</v>
      </c>
      <c r="C76" s="2" t="s">
        <v>63</v>
      </c>
      <c r="D76" s="2">
        <v>400</v>
      </c>
      <c r="E76" s="2">
        <v>160</v>
      </c>
      <c r="F76" s="2" t="s">
        <v>59</v>
      </c>
      <c r="G76" s="2">
        <v>240</v>
      </c>
      <c r="H76" s="2">
        <f t="shared" si="2"/>
        <v>210</v>
      </c>
      <c r="I76" s="1"/>
      <c r="J76" s="1"/>
      <c r="K76" s="1"/>
      <c r="L76" s="1"/>
      <c r="M76" s="1"/>
      <c r="N76" s="1"/>
      <c r="O76" s="1"/>
      <c r="P76" s="1"/>
      <c r="Q76" s="1">
        <v>60</v>
      </c>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v>60</v>
      </c>
      <c r="BG76" s="1"/>
      <c r="BH76" s="1"/>
      <c r="BI76" s="1">
        <v>60</v>
      </c>
      <c r="BJ76" s="1"/>
      <c r="BK76" s="1"/>
      <c r="BL76" s="1"/>
      <c r="BM76" s="1"/>
      <c r="BN76" s="1"/>
      <c r="BO76" s="1"/>
      <c r="BP76" s="1"/>
      <c r="BQ76" s="1"/>
      <c r="BR76" s="1"/>
      <c r="BS76" s="1"/>
      <c r="BT76" s="1"/>
      <c r="BU76" s="1"/>
      <c r="BV76" s="1"/>
      <c r="BW76" s="1"/>
      <c r="BX76" s="1"/>
      <c r="BY76" s="1"/>
      <c r="BZ76" s="1"/>
      <c r="CA76" s="1"/>
      <c r="CB76" s="1"/>
      <c r="CC76" s="1"/>
      <c r="CD76" s="2"/>
      <c r="CE76" s="2"/>
      <c r="CF76" s="1"/>
      <c r="CG76" s="1">
        <v>30</v>
      </c>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1"/>
      <c r="EK76" s="1"/>
      <c r="EL76" s="1"/>
      <c r="EM76" s="1"/>
      <c r="EN76" s="1"/>
      <c r="EO76" s="1"/>
      <c r="EP76" s="1"/>
      <c r="EQ76" s="1"/>
      <c r="ER76" s="1"/>
      <c r="ES76" s="1"/>
      <c r="ET76" s="1"/>
      <c r="EU76" s="2"/>
      <c r="EV76" s="2"/>
      <c r="EW76" s="2"/>
    </row>
    <row r="77" spans="1:153"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v>30</v>
      </c>
      <c r="AO77" s="1"/>
      <c r="AP77" s="1"/>
      <c r="AQ77" s="1"/>
      <c r="AR77" s="1"/>
      <c r="AS77" s="1"/>
      <c r="AT77" s="1"/>
      <c r="AU77" s="1"/>
      <c r="AV77" s="1"/>
      <c r="AW77" s="1"/>
      <c r="AX77" s="1"/>
      <c r="AY77" s="1"/>
      <c r="AZ77" s="1"/>
      <c r="BA77" s="1"/>
      <c r="BB77" s="1"/>
      <c r="BC77" s="1"/>
      <c r="BD77" s="1"/>
      <c r="BE77" s="1">
        <v>15</v>
      </c>
      <c r="BF77" s="1"/>
      <c r="BG77" s="1"/>
      <c r="BH77" s="1"/>
      <c r="BI77" s="1"/>
      <c r="BJ77" s="1"/>
      <c r="BK77" s="1"/>
      <c r="BL77" s="1"/>
      <c r="BM77" s="1"/>
      <c r="BN77" s="1"/>
      <c r="BO77" s="1"/>
      <c r="BP77" s="1"/>
      <c r="BQ77" s="1"/>
      <c r="BR77" s="1"/>
      <c r="BS77" s="1"/>
      <c r="BT77" s="1"/>
      <c r="BU77" s="1"/>
      <c r="BV77" s="1"/>
      <c r="BW77" s="1"/>
      <c r="BX77" s="1"/>
      <c r="BY77" s="1"/>
      <c r="BZ77" s="1"/>
      <c r="CA77" s="1"/>
      <c r="CB77" s="1"/>
      <c r="CC77" s="1"/>
      <c r="CD77" s="2"/>
      <c r="CE77" s="2"/>
      <c r="CF77" s="1"/>
      <c r="CG77" s="1"/>
      <c r="CH77" s="1"/>
      <c r="CI77" s="1"/>
      <c r="CJ77" s="1"/>
      <c r="CK77" s="1"/>
      <c r="CL77" s="1"/>
      <c r="CM77" s="1"/>
      <c r="CN77" s="1"/>
      <c r="CO77" s="1"/>
      <c r="CP77" s="1"/>
      <c r="CQ77" s="1"/>
      <c r="CR77" s="1"/>
      <c r="CS77" s="1"/>
      <c r="CT77" s="1"/>
      <c r="CU77" s="1"/>
      <c r="CV77" s="1"/>
      <c r="CW77" s="1">
        <v>120</v>
      </c>
      <c r="CX77" s="1"/>
      <c r="CY77" s="1"/>
      <c r="CZ77" s="1"/>
      <c r="DA77" s="1"/>
      <c r="DB77" s="1"/>
      <c r="DC77" s="1"/>
      <c r="DD77" s="1"/>
      <c r="DE77" s="1"/>
      <c r="DF77" s="1"/>
      <c r="DG77" s="1"/>
      <c r="DH77" s="1"/>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1"/>
      <c r="EK77" s="1"/>
      <c r="EL77" s="1"/>
      <c r="EM77" s="1"/>
      <c r="EN77" s="1"/>
      <c r="EO77" s="1"/>
      <c r="EP77" s="1"/>
      <c r="EQ77" s="1"/>
      <c r="ER77" s="1"/>
      <c r="ES77" s="1"/>
      <c r="ET77" s="1"/>
      <c r="EU77" s="2"/>
      <c r="EV77" s="2"/>
      <c r="EW77" s="2"/>
    </row>
    <row r="78" spans="1:153"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v>15</v>
      </c>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v>150</v>
      </c>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c r="EV78" s="2"/>
      <c r="EW78" s="2"/>
    </row>
    <row r="79" spans="1:153"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v>15</v>
      </c>
      <c r="BF79" s="2">
        <v>30</v>
      </c>
      <c r="BG79" s="2"/>
      <c r="BH79" s="2">
        <v>30</v>
      </c>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v>30</v>
      </c>
      <c r="CM79" s="2"/>
      <c r="CN79" s="2"/>
      <c r="CO79" s="2"/>
      <c r="CP79" s="2"/>
      <c r="CQ79" s="2"/>
      <c r="CR79" s="2"/>
      <c r="CS79" s="2">
        <v>60</v>
      </c>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c r="EV79" s="2"/>
      <c r="EW79" s="2"/>
    </row>
    <row r="80" spans="1:153"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v>30</v>
      </c>
      <c r="BF80" s="2">
        <v>30</v>
      </c>
      <c r="BG80" s="2"/>
      <c r="BH80" s="2">
        <v>30</v>
      </c>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v>30</v>
      </c>
      <c r="CM80" s="2"/>
      <c r="CN80" s="2"/>
      <c r="CO80" s="2"/>
      <c r="CP80" s="2"/>
      <c r="CQ80" s="2"/>
      <c r="CR80" s="2"/>
      <c r="CS80" s="2">
        <v>90</v>
      </c>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c r="EV80" s="2"/>
      <c r="EW80" s="2"/>
    </row>
    <row r="81" spans="1:153" x14ac:dyDescent="0.25">
      <c r="A81" s="1" t="s">
        <v>721</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v>30</v>
      </c>
      <c r="BG81" s="2"/>
      <c r="BH81" s="2"/>
      <c r="BI81" s="2"/>
      <c r="BJ81" s="2"/>
      <c r="BK81" s="2"/>
      <c r="BL81" s="2"/>
      <c r="BM81" s="2">
        <v>90</v>
      </c>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c r="EV81" s="2"/>
      <c r="EW81" s="2"/>
    </row>
    <row r="82" spans="1:153" x14ac:dyDescent="0.25">
      <c r="A82" s="1" t="s">
        <v>722</v>
      </c>
      <c r="B82" s="1" t="s">
        <v>50</v>
      </c>
      <c r="C82" s="2" t="s">
        <v>63</v>
      </c>
      <c r="D82" s="2">
        <v>400</v>
      </c>
      <c r="E82" s="2">
        <v>160</v>
      </c>
      <c r="F82" s="2" t="s">
        <v>59</v>
      </c>
      <c r="G82" s="2">
        <v>240</v>
      </c>
      <c r="H82" s="2">
        <f t="shared" si="2"/>
        <v>225</v>
      </c>
      <c r="I82" s="2"/>
      <c r="J82" s="2"/>
      <c r="K82" s="2"/>
      <c r="L82" s="2"/>
      <c r="M82" s="2"/>
      <c r="N82" s="2"/>
      <c r="O82" s="2"/>
      <c r="P82" s="2"/>
      <c r="Q82" s="2">
        <v>60</v>
      </c>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v>15</v>
      </c>
      <c r="AT82" s="2"/>
      <c r="AU82" s="2"/>
      <c r="AV82" s="2"/>
      <c r="AW82" s="2"/>
      <c r="AX82" s="2"/>
      <c r="AY82" s="2"/>
      <c r="AZ82" s="2"/>
      <c r="BA82" s="2"/>
      <c r="BB82" s="2"/>
      <c r="BC82" s="2"/>
      <c r="BD82" s="2"/>
      <c r="BE82" s="2">
        <v>15</v>
      </c>
      <c r="BF82" s="2">
        <v>60</v>
      </c>
      <c r="BG82" s="2"/>
      <c r="BH82" s="2"/>
      <c r="BI82" s="2">
        <v>60</v>
      </c>
      <c r="BJ82" s="2"/>
      <c r="BK82" s="2"/>
      <c r="BL82" s="2"/>
      <c r="BM82" s="2"/>
      <c r="BN82" s="2"/>
      <c r="BO82" s="2"/>
      <c r="BP82" s="2"/>
      <c r="BQ82" s="2"/>
      <c r="BR82" s="2"/>
      <c r="BS82" s="2"/>
      <c r="BT82" s="2"/>
      <c r="BU82" s="2"/>
      <c r="BV82" s="2"/>
      <c r="BW82" s="2"/>
      <c r="BX82" s="2"/>
      <c r="BY82" s="2"/>
      <c r="BZ82" s="2"/>
      <c r="CA82" s="2"/>
      <c r="CB82" s="2"/>
      <c r="CC82" s="2"/>
      <c r="CD82" s="2"/>
      <c r="CE82" s="2"/>
      <c r="CF82" s="2"/>
      <c r="CG82" s="2">
        <v>15</v>
      </c>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c r="EV82" s="2"/>
      <c r="EW82" s="2"/>
    </row>
    <row r="83" spans="1:153"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c r="X83" s="1">
        <v>60</v>
      </c>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v>15</v>
      </c>
      <c r="BF83" s="1"/>
      <c r="BG83" s="1"/>
      <c r="BH83" s="1"/>
      <c r="BI83" s="1"/>
      <c r="BJ83" s="1"/>
      <c r="BK83" s="1"/>
      <c r="BL83" s="1"/>
      <c r="BM83" s="1"/>
      <c r="BN83" s="1"/>
      <c r="BO83" s="1"/>
      <c r="BP83" s="1"/>
      <c r="BQ83" s="1"/>
      <c r="BR83" s="1"/>
      <c r="BS83" s="1"/>
      <c r="BT83" s="1"/>
      <c r="BU83" s="1"/>
      <c r="BV83" s="1"/>
      <c r="BW83" s="1">
        <v>90</v>
      </c>
      <c r="BX83" s="1"/>
      <c r="BY83" s="1"/>
      <c r="BZ83" s="1"/>
      <c r="CA83" s="1"/>
      <c r="CB83" s="1"/>
      <c r="CC83" s="1"/>
      <c r="CD83" s="2"/>
      <c r="CE83" s="2"/>
      <c r="CF83" s="1"/>
      <c r="CG83" s="1"/>
      <c r="CH83" s="1"/>
      <c r="CI83" s="1"/>
      <c r="CJ83" s="1">
        <v>15</v>
      </c>
      <c r="CK83" s="1"/>
      <c r="CL83" s="1"/>
      <c r="CM83" s="1"/>
      <c r="CN83" s="1"/>
      <c r="CO83" s="1"/>
      <c r="CP83" s="1"/>
      <c r="CQ83" s="1"/>
      <c r="CR83" s="1"/>
      <c r="CS83" s="1"/>
      <c r="CT83" s="1"/>
      <c r="CU83" s="1"/>
      <c r="CV83" s="1"/>
      <c r="CW83" s="1"/>
      <c r="CX83" s="1"/>
      <c r="CY83" s="1"/>
      <c r="CZ83" s="1"/>
      <c r="DA83" s="1"/>
      <c r="DB83" s="1"/>
      <c r="DC83" s="1"/>
      <c r="DD83" s="1"/>
      <c r="DE83" s="1"/>
      <c r="DF83" s="1"/>
      <c r="DG83" s="1"/>
      <c r="DH83" s="1"/>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1"/>
      <c r="EK83" s="1"/>
      <c r="EL83" s="1"/>
      <c r="EM83" s="1"/>
      <c r="EN83" s="1"/>
      <c r="EO83" s="1"/>
      <c r="EP83" s="1"/>
      <c r="EQ83" s="1"/>
      <c r="ER83" s="1"/>
      <c r="ES83" s="1"/>
      <c r="ET83" s="1"/>
      <c r="EU83" s="2"/>
      <c r="EV83" s="2"/>
      <c r="EW83" s="2"/>
    </row>
    <row r="84" spans="1:153" x14ac:dyDescent="0.25">
      <c r="A84" s="1" t="s">
        <v>619</v>
      </c>
      <c r="B84" s="1" t="s">
        <v>51</v>
      </c>
      <c r="C84" s="3" t="s">
        <v>68</v>
      </c>
      <c r="D84" s="2">
        <v>300</v>
      </c>
      <c r="E84" s="1"/>
      <c r="F84" s="2" t="s">
        <v>60</v>
      </c>
      <c r="G84" s="1"/>
      <c r="H84" s="2">
        <f t="shared" si="2"/>
        <v>1000</v>
      </c>
      <c r="I84" s="1"/>
      <c r="J84" s="1"/>
      <c r="K84" s="1"/>
      <c r="L84" s="1"/>
      <c r="M84" s="1"/>
      <c r="N84" s="1"/>
      <c r="O84" s="1"/>
      <c r="P84" s="1"/>
      <c r="Q84" s="1"/>
      <c r="R84" s="1"/>
      <c r="S84" s="1"/>
      <c r="T84" s="1"/>
      <c r="U84" s="1"/>
      <c r="V84" s="1">
        <v>1000</v>
      </c>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2"/>
      <c r="CE84" s="2"/>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2"/>
      <c r="DJ84" s="2"/>
      <c r="DK84" s="2"/>
      <c r="DL84" s="2"/>
      <c r="DM84" s="2"/>
      <c r="DN84" s="2"/>
      <c r="DO84" s="2"/>
      <c r="DP84" s="2"/>
      <c r="DQ84" s="2"/>
      <c r="DR84" s="2"/>
      <c r="DS84" s="2"/>
      <c r="DT84" s="2"/>
      <c r="DU84" s="2"/>
      <c r="DV84" s="2">
        <v>2</v>
      </c>
      <c r="DW84" s="2"/>
      <c r="DX84" s="2"/>
      <c r="DY84" s="2"/>
      <c r="DZ84" s="2"/>
      <c r="EA84" s="2"/>
      <c r="EB84" s="2">
        <v>2</v>
      </c>
      <c r="EC84" s="2"/>
      <c r="ED84" s="2"/>
      <c r="EE84" s="2"/>
      <c r="EF84" s="2"/>
      <c r="EG84" s="2"/>
      <c r="EH84" s="2"/>
      <c r="EI84" s="2"/>
      <c r="EJ84" s="1"/>
      <c r="EK84" s="1"/>
      <c r="EL84" s="1"/>
      <c r="EM84" s="1"/>
      <c r="EN84" s="1">
        <v>1</v>
      </c>
      <c r="EO84" s="1"/>
      <c r="EP84" s="1"/>
      <c r="EQ84" s="1"/>
      <c r="ER84" s="1"/>
      <c r="ES84" s="1"/>
      <c r="ET84" s="1"/>
      <c r="EU84" s="2"/>
      <c r="EV84" s="2"/>
      <c r="EW84" s="2"/>
    </row>
    <row r="85" spans="1:153" x14ac:dyDescent="0.25">
      <c r="A85" s="1" t="s">
        <v>622</v>
      </c>
      <c r="B85" s="1" t="s">
        <v>51</v>
      </c>
      <c r="C85" s="3" t="s">
        <v>68</v>
      </c>
      <c r="D85" s="2">
        <v>300</v>
      </c>
      <c r="E85" s="1"/>
      <c r="F85" s="2" t="s">
        <v>60</v>
      </c>
      <c r="G85" s="1"/>
      <c r="H85" s="2">
        <f t="shared" si="2"/>
        <v>330</v>
      </c>
      <c r="I85" s="1"/>
      <c r="J85" s="1"/>
      <c r="K85" s="1"/>
      <c r="L85" s="1"/>
      <c r="M85" s="1"/>
      <c r="N85" s="1"/>
      <c r="O85" s="1"/>
      <c r="P85" s="1"/>
      <c r="Q85" s="1"/>
      <c r="R85" s="1"/>
      <c r="S85" s="1"/>
      <c r="T85" s="1"/>
      <c r="U85" s="1"/>
      <c r="V85" s="1">
        <v>330</v>
      </c>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2"/>
      <c r="CE85" s="2"/>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1"/>
      <c r="EK85" s="1"/>
      <c r="EL85" s="1"/>
      <c r="EM85" s="1"/>
      <c r="EN85" s="1"/>
      <c r="EO85" s="1"/>
      <c r="EP85" s="1"/>
      <c r="EQ85" s="1">
        <v>1</v>
      </c>
      <c r="ER85" s="1"/>
      <c r="ES85" s="1"/>
      <c r="ET85" s="1"/>
      <c r="EU85" s="2"/>
      <c r="EV85" s="2"/>
      <c r="EW85" s="2"/>
    </row>
    <row r="86" spans="1:153"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v>30</v>
      </c>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v>15</v>
      </c>
      <c r="CI86" s="2"/>
      <c r="CJ86" s="2"/>
      <c r="CK86" s="2"/>
      <c r="CL86" s="2"/>
      <c r="CM86" s="2"/>
      <c r="CN86" s="2"/>
      <c r="CO86" s="2"/>
      <c r="CP86" s="2"/>
      <c r="CQ86" s="2"/>
      <c r="CR86" s="2"/>
      <c r="CS86" s="2"/>
      <c r="CT86" s="2"/>
      <c r="CU86" s="2"/>
      <c r="CV86" s="2"/>
      <c r="CW86" s="2"/>
      <c r="CX86" s="2"/>
      <c r="CY86" s="2"/>
      <c r="CZ86" s="2"/>
      <c r="DA86" s="2"/>
      <c r="DB86" s="2"/>
      <c r="DC86" s="2"/>
      <c r="DD86" s="2"/>
      <c r="DE86" s="2">
        <v>50</v>
      </c>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c r="EV86" s="2"/>
      <c r="EW86" s="2"/>
    </row>
    <row r="87" spans="1:153"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c r="AE87" s="2"/>
      <c r="AF87" s="2">
        <v>30</v>
      </c>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v>1</v>
      </c>
      <c r="EK87" s="2"/>
      <c r="EL87" s="2"/>
      <c r="EM87" s="2"/>
      <c r="EN87" s="2"/>
      <c r="EO87" s="2"/>
      <c r="EP87" s="2"/>
      <c r="EQ87" s="2"/>
      <c r="ER87" s="2"/>
      <c r="ES87" s="2"/>
      <c r="ET87" s="2"/>
      <c r="EU87" s="2"/>
      <c r="EV87" s="2"/>
      <c r="EW87" s="2"/>
    </row>
    <row r="88" spans="1:153"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2">
        <v>30</v>
      </c>
      <c r="BF88" s="2"/>
      <c r="BG88" s="2"/>
      <c r="BH88" s="2"/>
      <c r="BI88" s="2"/>
      <c r="BJ88" s="2"/>
      <c r="BK88" s="2"/>
      <c r="BL88" s="2">
        <v>30</v>
      </c>
      <c r="BM88" s="2"/>
      <c r="BN88" s="2"/>
      <c r="BO88" s="2"/>
      <c r="BP88" s="2"/>
      <c r="BQ88" s="2"/>
      <c r="BR88" s="2"/>
      <c r="BS88" s="2"/>
      <c r="BT88" s="2"/>
      <c r="BU88" s="2"/>
      <c r="BV88" s="2"/>
      <c r="BW88" s="2"/>
      <c r="BX88" s="2"/>
      <c r="BY88" s="2"/>
      <c r="BZ88" s="2"/>
      <c r="CA88" s="2"/>
      <c r="CB88" s="2"/>
      <c r="CC88" s="2"/>
      <c r="CD88" s="2"/>
      <c r="CE88" s="2"/>
      <c r="CF88" s="2"/>
      <c r="CG88" s="2"/>
      <c r="CH88" s="2">
        <v>30</v>
      </c>
      <c r="CI88" s="2"/>
      <c r="CJ88" s="2"/>
      <c r="CK88" s="2"/>
      <c r="CL88" s="2"/>
      <c r="CM88" s="2"/>
      <c r="CN88" s="2"/>
      <c r="CO88" s="2"/>
      <c r="CP88" s="2"/>
      <c r="CQ88" s="2"/>
      <c r="CR88" s="1"/>
      <c r="CS88" s="1"/>
      <c r="CT88" s="1"/>
      <c r="CU88" s="1"/>
      <c r="CV88" s="1"/>
      <c r="CW88" s="1"/>
      <c r="CX88" s="1"/>
      <c r="CY88" s="1"/>
      <c r="CZ88" s="2">
        <v>15</v>
      </c>
      <c r="DA88" s="1"/>
      <c r="DB88" s="1"/>
      <c r="DC88" s="1"/>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c r="EV88" s="2"/>
      <c r="EW88" s="2"/>
    </row>
    <row r="89" spans="1:153"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v>15</v>
      </c>
      <c r="AP89" s="2"/>
      <c r="AQ89" s="2"/>
      <c r="AR89" s="2"/>
      <c r="AS89" s="2"/>
      <c r="AT89" s="2"/>
      <c r="AU89" s="2"/>
      <c r="AV89" s="2"/>
      <c r="AW89" s="2"/>
      <c r="AX89" s="2"/>
      <c r="AY89" s="2"/>
      <c r="AZ89" s="2"/>
      <c r="BA89" s="2"/>
      <c r="BB89" s="2"/>
      <c r="BC89" s="2"/>
      <c r="BD89" s="2"/>
      <c r="BE89" s="2">
        <v>30</v>
      </c>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v>15</v>
      </c>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c r="EV89" s="2"/>
      <c r="EW89" s="2"/>
    </row>
    <row r="90" spans="1:153"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v>15</v>
      </c>
      <c r="AP90" s="2"/>
      <c r="AQ90" s="2"/>
      <c r="AR90" s="2"/>
      <c r="AS90" s="2"/>
      <c r="AT90" s="2"/>
      <c r="AU90" s="2"/>
      <c r="AV90" s="2"/>
      <c r="AW90" s="2"/>
      <c r="AX90" s="2"/>
      <c r="AY90" s="2"/>
      <c r="AZ90" s="2"/>
      <c r="BA90" s="2"/>
      <c r="BB90" s="2"/>
      <c r="BC90" s="2"/>
      <c r="BD90" s="2"/>
      <c r="BE90" s="2">
        <v>15</v>
      </c>
      <c r="BF90" s="2"/>
      <c r="BG90" s="2"/>
      <c r="BH90" s="2">
        <v>30</v>
      </c>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v>15</v>
      </c>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c r="EV90" s="2"/>
      <c r="EW90" s="2"/>
    </row>
    <row r="91" spans="1:153" x14ac:dyDescent="0.25">
      <c r="A91" s="1" t="s">
        <v>684</v>
      </c>
      <c r="B91" s="1" t="s">
        <v>685</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c r="Y91" s="1">
        <v>250</v>
      </c>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2"/>
      <c r="CE91" s="2"/>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2"/>
      <c r="DJ91" s="2"/>
      <c r="DK91" s="2"/>
      <c r="DL91" s="2"/>
      <c r="DM91" s="2"/>
      <c r="DN91" s="2"/>
      <c r="DO91" s="2">
        <v>1</v>
      </c>
      <c r="DP91" s="2"/>
      <c r="DQ91" s="2"/>
      <c r="DR91" s="2"/>
      <c r="DS91" s="2"/>
      <c r="DT91" s="2"/>
      <c r="DU91" s="2"/>
      <c r="DV91" s="2"/>
      <c r="DW91" s="2"/>
      <c r="DX91" s="2"/>
      <c r="DY91" s="2"/>
      <c r="DZ91" s="2"/>
      <c r="EA91" s="2"/>
      <c r="EB91" s="2">
        <v>1</v>
      </c>
      <c r="EC91" s="2"/>
      <c r="ED91" s="2"/>
      <c r="EE91" s="2"/>
      <c r="EF91" s="2"/>
      <c r="EG91" s="2"/>
      <c r="EH91" s="2"/>
      <c r="EI91" s="2"/>
      <c r="EJ91" s="1"/>
      <c r="EK91" s="1"/>
      <c r="EL91" s="1"/>
      <c r="EM91" s="1"/>
      <c r="EN91" s="1"/>
      <c r="EO91" s="1"/>
      <c r="EP91" s="1"/>
      <c r="EQ91" s="1"/>
      <c r="ER91" s="1"/>
      <c r="ES91" s="1"/>
      <c r="ET91" s="1"/>
      <c r="EU91" s="2"/>
      <c r="EV91" s="2"/>
      <c r="EW91" s="2"/>
    </row>
    <row r="92" spans="1:153"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c r="W92" s="2">
        <v>270</v>
      </c>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v>30</v>
      </c>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v>1</v>
      </c>
      <c r="EL92" s="2">
        <v>1</v>
      </c>
      <c r="EM92" s="2"/>
      <c r="EN92" s="2"/>
      <c r="EO92" s="2"/>
      <c r="EP92" s="2"/>
      <c r="EQ92" s="2"/>
      <c r="ER92" s="2">
        <v>1</v>
      </c>
      <c r="ES92" s="2"/>
      <c r="ET92" s="2"/>
      <c r="EU92" s="2"/>
      <c r="EV92" s="2"/>
      <c r="EW92" s="2"/>
    </row>
    <row r="93" spans="1:153" x14ac:dyDescent="0.25">
      <c r="A93" s="1" t="s">
        <v>517</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c r="AE93" s="2"/>
      <c r="AF93" s="2">
        <v>45</v>
      </c>
      <c r="AG93" s="2"/>
      <c r="AH93" s="2"/>
      <c r="AI93" s="2"/>
      <c r="AJ93" s="2"/>
      <c r="AK93" s="2">
        <v>45</v>
      </c>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c r="EV93" s="2"/>
      <c r="EW93" s="2"/>
    </row>
    <row r="94" spans="1:153"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c r="Z94" s="1">
        <v>75</v>
      </c>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v>75</v>
      </c>
      <c r="BG94" s="1"/>
      <c r="BH94" s="1"/>
      <c r="BI94" s="1"/>
      <c r="BJ94" s="1"/>
      <c r="BK94" s="1"/>
      <c r="BL94" s="1"/>
      <c r="BM94" s="1"/>
      <c r="BN94" s="1"/>
      <c r="BO94" s="1"/>
      <c r="BP94" s="1"/>
      <c r="BQ94" s="1"/>
      <c r="BR94" s="1"/>
      <c r="BS94" s="1"/>
      <c r="BT94" s="1"/>
      <c r="BU94" s="1"/>
      <c r="BV94" s="1"/>
      <c r="BW94" s="1"/>
      <c r="BX94" s="1"/>
      <c r="BY94" s="1"/>
      <c r="BZ94" s="1"/>
      <c r="CA94" s="1"/>
      <c r="CB94" s="1"/>
      <c r="CC94" s="1"/>
      <c r="CD94" s="2"/>
      <c r="CE94" s="2"/>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1"/>
      <c r="EK94" s="1"/>
      <c r="EL94" s="1"/>
      <c r="EM94" s="1"/>
      <c r="EN94" s="1"/>
      <c r="EO94" s="1"/>
      <c r="EP94" s="1"/>
      <c r="EQ94" s="1"/>
      <c r="ER94" s="1"/>
      <c r="ES94" s="1"/>
      <c r="ET94" s="1"/>
      <c r="EU94" s="2"/>
      <c r="EV94" s="2"/>
      <c r="EW94" s="2"/>
    </row>
    <row r="95" spans="1:153" x14ac:dyDescent="0.25">
      <c r="A95" s="1" t="s">
        <v>17</v>
      </c>
      <c r="B95" s="1" t="s">
        <v>51</v>
      </c>
      <c r="C95" s="2" t="s">
        <v>69</v>
      </c>
      <c r="D95" s="2">
        <v>300</v>
      </c>
      <c r="E95" s="2">
        <v>120</v>
      </c>
      <c r="F95" s="2" t="s">
        <v>59</v>
      </c>
      <c r="G95" s="2">
        <v>180</v>
      </c>
      <c r="H95" s="2">
        <f t="shared" si="2"/>
        <v>105</v>
      </c>
      <c r="I95" s="2"/>
      <c r="J95" s="2"/>
      <c r="K95" s="2"/>
      <c r="L95" s="2"/>
      <c r="M95" s="2"/>
      <c r="N95" s="2"/>
      <c r="O95" s="2"/>
      <c r="P95" s="2"/>
      <c r="Q95" s="2">
        <v>45</v>
      </c>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v>30</v>
      </c>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v>30</v>
      </c>
      <c r="DC95" s="2"/>
      <c r="DD95" s="2"/>
      <c r="DE95" s="2"/>
      <c r="DF95" s="2"/>
      <c r="DG95" s="2"/>
      <c r="DH95" s="2"/>
      <c r="DI95" s="2"/>
      <c r="DJ95" s="2">
        <v>12</v>
      </c>
      <c r="DK95" s="2"/>
      <c r="DL95" s="2"/>
      <c r="DM95" s="2"/>
      <c r="DN95" s="2"/>
      <c r="DO95" s="2"/>
      <c r="DP95" s="2"/>
      <c r="DQ95" s="2"/>
      <c r="DR95" s="2"/>
      <c r="DS95" s="2"/>
      <c r="DT95" s="2"/>
      <c r="DU95" s="2"/>
      <c r="DV95" s="2"/>
      <c r="DW95" s="2"/>
      <c r="DX95" s="2"/>
      <c r="DY95" s="2"/>
      <c r="DZ95" s="2"/>
      <c r="EA95" s="2"/>
      <c r="EB95" s="2">
        <v>1</v>
      </c>
      <c r="EC95" s="2"/>
      <c r="ED95" s="2"/>
      <c r="EE95" s="2"/>
      <c r="EF95" s="2"/>
      <c r="EG95" s="2"/>
      <c r="EH95" s="2"/>
      <c r="EI95" s="2"/>
      <c r="EJ95" s="2"/>
      <c r="EK95" s="2"/>
      <c r="EL95" s="2"/>
      <c r="EM95" s="2"/>
      <c r="EN95" s="2"/>
      <c r="EO95" s="2"/>
      <c r="EP95" s="2"/>
      <c r="EQ95" s="2"/>
      <c r="ER95" s="2"/>
      <c r="ES95" s="2"/>
      <c r="ET95" s="2"/>
      <c r="EU95" s="2"/>
      <c r="EV95" s="2"/>
      <c r="EW95" s="2"/>
    </row>
    <row r="96" spans="1:153"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v>30</v>
      </c>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v>30</v>
      </c>
      <c r="CL96" s="2"/>
      <c r="CM96" s="2"/>
      <c r="CN96" s="2"/>
      <c r="CO96" s="2"/>
      <c r="CP96" s="2"/>
      <c r="CQ96" s="2"/>
      <c r="CR96" s="2"/>
      <c r="CS96" s="2"/>
      <c r="CT96" s="2"/>
      <c r="CU96" s="2"/>
      <c r="CV96" s="2"/>
      <c r="CW96" s="2"/>
      <c r="CX96" s="2"/>
      <c r="CY96" s="2"/>
      <c r="CZ96" s="2"/>
      <c r="DA96" s="2"/>
      <c r="DB96" s="2">
        <v>90</v>
      </c>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c r="EV96" s="2"/>
      <c r="EW96" s="2"/>
    </row>
    <row r="97" spans="1:153" x14ac:dyDescent="0.25">
      <c r="A97" s="1" t="s">
        <v>18</v>
      </c>
      <c r="B97" s="1" t="s">
        <v>50</v>
      </c>
      <c r="C97" s="2" t="s">
        <v>63</v>
      </c>
      <c r="D97" s="2">
        <v>400</v>
      </c>
      <c r="E97" s="2">
        <v>160</v>
      </c>
      <c r="F97" s="2" t="s">
        <v>59</v>
      </c>
      <c r="G97" s="2">
        <v>240</v>
      </c>
      <c r="H97" s="2">
        <f t="shared" si="2"/>
        <v>195</v>
      </c>
      <c r="I97" s="2"/>
      <c r="J97" s="2"/>
      <c r="K97" s="2"/>
      <c r="L97" s="2"/>
      <c r="M97" s="2"/>
      <c r="N97" s="2"/>
      <c r="O97" s="2"/>
      <c r="P97" s="2"/>
      <c r="Q97" s="2">
        <v>60</v>
      </c>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v>15</v>
      </c>
      <c r="BF97" s="2"/>
      <c r="BG97" s="2"/>
      <c r="BH97" s="2">
        <v>60</v>
      </c>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v>30</v>
      </c>
      <c r="CL97" s="2"/>
      <c r="CM97" s="2"/>
      <c r="CN97" s="2"/>
      <c r="CO97" s="2"/>
      <c r="CP97" s="2"/>
      <c r="CQ97" s="2"/>
      <c r="CR97" s="2"/>
      <c r="CS97" s="2"/>
      <c r="CT97" s="2"/>
      <c r="CU97" s="2"/>
      <c r="CV97" s="2"/>
      <c r="CW97" s="2"/>
      <c r="CX97" s="2"/>
      <c r="CY97" s="2"/>
      <c r="CZ97" s="2"/>
      <c r="DA97" s="2"/>
      <c r="DB97" s="2">
        <v>30</v>
      </c>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c r="EV97" s="2"/>
      <c r="EW97" s="2"/>
    </row>
    <row r="98" spans="1:153" x14ac:dyDescent="0.25">
      <c r="A98" s="1" t="s">
        <v>720</v>
      </c>
      <c r="B98" s="1" t="s">
        <v>49</v>
      </c>
      <c r="C98" s="2" t="s">
        <v>63</v>
      </c>
      <c r="D98" s="2">
        <v>500</v>
      </c>
      <c r="E98" s="2">
        <v>200</v>
      </c>
      <c r="F98" s="2" t="s">
        <v>59</v>
      </c>
      <c r="G98" s="2">
        <v>300</v>
      </c>
      <c r="H98" s="2">
        <f t="shared" ref="H98:H129" si="3">SUM(I98:DF98)</f>
        <v>240</v>
      </c>
      <c r="I98" s="2"/>
      <c r="J98" s="2"/>
      <c r="K98" s="2"/>
      <c r="L98" s="2"/>
      <c r="M98" s="2"/>
      <c r="N98" s="2"/>
      <c r="O98" s="2"/>
      <c r="P98" s="2"/>
      <c r="Q98" s="2"/>
      <c r="R98" s="2"/>
      <c r="S98" s="2"/>
      <c r="T98" s="2"/>
      <c r="U98" s="2"/>
      <c r="V98" s="2"/>
      <c r="W98" s="2"/>
      <c r="X98" s="2"/>
      <c r="Y98" s="2"/>
      <c r="Z98" s="2">
        <v>120</v>
      </c>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v>45</v>
      </c>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v>45</v>
      </c>
      <c r="CL98" s="2"/>
      <c r="CM98" s="2"/>
      <c r="CN98" s="2"/>
      <c r="CO98" s="2"/>
      <c r="CP98" s="2"/>
      <c r="CQ98" s="2"/>
      <c r="CR98" s="2"/>
      <c r="CS98" s="2"/>
      <c r="CT98" s="2"/>
      <c r="CU98" s="2"/>
      <c r="CV98" s="2"/>
      <c r="CW98" s="2"/>
      <c r="CX98" s="2"/>
      <c r="CY98" s="2"/>
      <c r="CZ98" s="2"/>
      <c r="DA98" s="2"/>
      <c r="DB98" s="2">
        <v>30</v>
      </c>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c r="EV98" s="2"/>
      <c r="EW98" s="2"/>
    </row>
    <row r="99" spans="1:153"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v>15</v>
      </c>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v>150</v>
      </c>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c r="EV99" s="2"/>
      <c r="EW99" s="2"/>
    </row>
    <row r="100" spans="1:153"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v>15</v>
      </c>
      <c r="BF100" s="2">
        <v>30</v>
      </c>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v>30</v>
      </c>
      <c r="CI100" s="2"/>
      <c r="CJ100" s="2"/>
      <c r="CK100" s="2"/>
      <c r="CL100" s="2"/>
      <c r="CM100" s="2"/>
      <c r="CN100" s="2"/>
      <c r="CO100" s="2"/>
      <c r="CP100" s="2"/>
      <c r="CQ100" s="2"/>
      <c r="CR100" s="2"/>
      <c r="CS100" s="2"/>
      <c r="CT100" s="2"/>
      <c r="CU100" s="2"/>
      <c r="CV100" s="2"/>
      <c r="CW100" s="2"/>
      <c r="CX100" s="2"/>
      <c r="CY100" s="2"/>
      <c r="CZ100" s="2">
        <v>15</v>
      </c>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c r="EV100" s="2"/>
      <c r="EW100" s="2"/>
    </row>
    <row r="101" spans="1:153"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c r="W101" s="2">
        <v>180</v>
      </c>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v>30</v>
      </c>
      <c r="BF101" s="2"/>
      <c r="BG101" s="2"/>
      <c r="BH101" s="2"/>
      <c r="BI101" s="2"/>
      <c r="BJ101" s="2"/>
      <c r="BK101" s="2"/>
      <c r="BL101" s="2"/>
      <c r="BM101" s="2"/>
      <c r="BN101" s="2"/>
      <c r="BO101" s="2"/>
      <c r="BP101" s="2"/>
      <c r="BQ101" s="2"/>
      <c r="BR101" s="2"/>
      <c r="BS101" s="2"/>
      <c r="BT101" s="2"/>
      <c r="BU101" s="2">
        <v>90</v>
      </c>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v>1</v>
      </c>
      <c r="EL101" s="2">
        <v>1</v>
      </c>
      <c r="EM101" s="2"/>
      <c r="EN101" s="2"/>
      <c r="EO101" s="2"/>
      <c r="EP101" s="2"/>
      <c r="EQ101" s="2"/>
      <c r="ER101" s="2">
        <v>1</v>
      </c>
      <c r="ES101" s="2"/>
      <c r="ET101" s="2">
        <v>1</v>
      </c>
      <c r="EU101" s="2"/>
      <c r="EV101" s="2"/>
      <c r="EW101" s="2"/>
    </row>
    <row r="102" spans="1:153"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c r="AE102" s="2"/>
      <c r="AF102" s="2">
        <v>30</v>
      </c>
      <c r="AG102" s="2"/>
      <c r="AH102" s="2"/>
      <c r="AI102" s="2"/>
      <c r="AJ102" s="2"/>
      <c r="AK102" s="2">
        <v>30</v>
      </c>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c r="EV102" s="2"/>
      <c r="EW102" s="2"/>
    </row>
    <row r="103" spans="1:153"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c r="Z103" s="2">
        <v>60</v>
      </c>
      <c r="AA103" s="2"/>
      <c r="AB103" s="2"/>
      <c r="AC103" s="2"/>
      <c r="AD103" s="2"/>
      <c r="AE103" s="2"/>
      <c r="AF103" s="2">
        <v>30</v>
      </c>
      <c r="AG103" s="2"/>
      <c r="AH103" s="2"/>
      <c r="AI103" s="2"/>
      <c r="AJ103" s="2"/>
      <c r="AK103" s="2">
        <v>30</v>
      </c>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c r="EV103" s="2"/>
      <c r="EW103" s="2"/>
    </row>
    <row r="104" spans="1:153"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c r="X104" s="1">
        <v>15</v>
      </c>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2">
        <v>30</v>
      </c>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v>30</v>
      </c>
      <c r="CI104" s="2"/>
      <c r="CJ104" s="2"/>
      <c r="CK104" s="2"/>
      <c r="CL104" s="2"/>
      <c r="CM104" s="2"/>
      <c r="CN104" s="2"/>
      <c r="CO104" s="2"/>
      <c r="CP104" s="2"/>
      <c r="CQ104" s="2"/>
      <c r="CR104" s="1"/>
      <c r="CS104" s="1"/>
      <c r="CT104" s="1"/>
      <c r="CU104" s="1"/>
      <c r="CV104" s="1"/>
      <c r="CW104" s="1"/>
      <c r="CX104" s="1"/>
      <c r="CY104" s="1"/>
      <c r="CZ104" s="2">
        <v>15</v>
      </c>
      <c r="DA104" s="1"/>
      <c r="DB104" s="1"/>
      <c r="DC104" s="1"/>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c r="EV104" s="2"/>
      <c r="EW104" s="2"/>
    </row>
    <row r="105" spans="1:153"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v>30</v>
      </c>
      <c r="AY105" s="2"/>
      <c r="AZ105" s="2"/>
      <c r="BA105" s="2"/>
      <c r="BB105" s="2"/>
      <c r="BC105" s="2"/>
      <c r="BD105" s="2"/>
      <c r="BE105" s="2">
        <v>15</v>
      </c>
      <c r="BF105" s="2"/>
      <c r="BG105" s="2">
        <v>75</v>
      </c>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v>20</v>
      </c>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c r="EV105" s="2"/>
      <c r="EW105" s="2"/>
    </row>
    <row r="106" spans="1:153" x14ac:dyDescent="0.25">
      <c r="A106" s="1" t="s">
        <v>561</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2"/>
      <c r="CE106" s="2"/>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2"/>
      <c r="DJ106" s="2"/>
      <c r="DK106" s="2"/>
      <c r="DL106" s="2"/>
      <c r="DM106" s="2"/>
      <c r="DN106" s="2"/>
      <c r="DO106" s="2"/>
      <c r="DP106" s="2"/>
      <c r="DQ106" s="2"/>
      <c r="DR106" s="2"/>
      <c r="DS106" s="2"/>
      <c r="DT106" s="2"/>
      <c r="DU106" s="2"/>
      <c r="DV106" s="2"/>
      <c r="DW106" s="2"/>
      <c r="DX106" s="2"/>
      <c r="DY106" s="2"/>
      <c r="DZ106" s="2"/>
      <c r="EA106" s="2">
        <v>1</v>
      </c>
      <c r="EB106" s="2"/>
      <c r="EC106" s="2"/>
      <c r="ED106" s="2"/>
      <c r="EE106" s="2"/>
      <c r="EF106" s="2"/>
      <c r="EG106" s="2"/>
      <c r="EH106" s="2"/>
      <c r="EI106" s="2"/>
      <c r="EJ106" s="1">
        <v>1</v>
      </c>
      <c r="EK106" s="1"/>
      <c r="EL106" s="1"/>
      <c r="EM106" s="1"/>
      <c r="EN106" s="1"/>
      <c r="EO106" s="1">
        <v>1</v>
      </c>
      <c r="EP106" s="1"/>
      <c r="EQ106" s="1"/>
      <c r="ER106" s="1"/>
      <c r="ES106" s="1"/>
      <c r="ET106" s="1"/>
      <c r="EU106" s="2"/>
      <c r="EV106" s="2"/>
      <c r="EW106" s="2"/>
    </row>
    <row r="107" spans="1:153"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v>30</v>
      </c>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c r="EV107" s="2"/>
      <c r="EW107" s="2"/>
    </row>
    <row r="108" spans="1:153" x14ac:dyDescent="0.25">
      <c r="A108" s="1" t="s">
        <v>529</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v>15</v>
      </c>
      <c r="BF108" s="2"/>
      <c r="BG108" s="2">
        <v>15</v>
      </c>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v>120</v>
      </c>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v>1</v>
      </c>
      <c r="ES108" s="2"/>
      <c r="ET108" s="2"/>
      <c r="EU108" s="2"/>
      <c r="EV108" s="2"/>
      <c r="EW108" s="2"/>
    </row>
    <row r="109" spans="1:153"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c r="AE109" s="2"/>
      <c r="AF109" s="2">
        <v>15</v>
      </c>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v>15</v>
      </c>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v>15</v>
      </c>
      <c r="CK109" s="2"/>
      <c r="CL109" s="2"/>
      <c r="CM109" s="2"/>
      <c r="CN109" s="2"/>
      <c r="CO109" s="2"/>
      <c r="CP109" s="2"/>
      <c r="CQ109" s="2"/>
      <c r="CR109" s="2"/>
      <c r="CS109" s="2"/>
      <c r="CT109" s="2"/>
      <c r="CU109" s="2"/>
      <c r="CV109" s="2"/>
      <c r="CW109" s="2"/>
      <c r="CX109" s="2"/>
      <c r="CY109" s="2"/>
      <c r="CZ109" s="2"/>
      <c r="DA109" s="2"/>
      <c r="DB109" s="2">
        <v>30</v>
      </c>
      <c r="DC109" s="2"/>
      <c r="DD109" s="2"/>
      <c r="DE109" s="2"/>
      <c r="DF109" s="2"/>
      <c r="DG109" s="2"/>
      <c r="DH109" s="2"/>
      <c r="DI109" s="2">
        <v>6</v>
      </c>
      <c r="DJ109" s="2"/>
      <c r="DK109" s="2"/>
      <c r="DL109" s="2"/>
      <c r="DM109" s="2"/>
      <c r="DN109" s="2"/>
      <c r="DO109" s="2"/>
      <c r="DP109" s="2"/>
      <c r="DQ109" s="2"/>
      <c r="DR109" s="2"/>
      <c r="DS109" s="2"/>
      <c r="DT109" s="2"/>
      <c r="DU109" s="2">
        <v>6</v>
      </c>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c r="EV109" s="2"/>
      <c r="EW109" s="2"/>
    </row>
    <row r="110" spans="1:153" x14ac:dyDescent="0.25">
      <c r="A110" s="1" t="s">
        <v>534</v>
      </c>
      <c r="B110" s="1" t="s">
        <v>53</v>
      </c>
      <c r="C110" s="2" t="s">
        <v>736</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v>30</v>
      </c>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2"/>
      <c r="CE110" s="2"/>
      <c r="CF110" s="1"/>
      <c r="CG110" s="1"/>
      <c r="CH110" s="1"/>
      <c r="CI110" s="1"/>
      <c r="CJ110" s="1"/>
      <c r="CK110" s="1"/>
      <c r="CL110" s="1"/>
      <c r="CM110" s="1"/>
      <c r="CN110" s="1">
        <v>30</v>
      </c>
      <c r="CO110" s="1"/>
      <c r="CP110" s="1"/>
      <c r="CQ110" s="1"/>
      <c r="CR110" s="1"/>
      <c r="CS110" s="1"/>
      <c r="CT110" s="1"/>
      <c r="CU110" s="1"/>
      <c r="CV110" s="1"/>
      <c r="CW110" s="1"/>
      <c r="CX110" s="1"/>
      <c r="CY110" s="1"/>
      <c r="CZ110" s="1"/>
      <c r="DA110" s="1"/>
      <c r="DB110" s="1"/>
      <c r="DC110" s="1"/>
      <c r="DD110" s="1"/>
      <c r="DE110" s="1"/>
      <c r="DF110" s="1"/>
      <c r="DG110" s="1"/>
      <c r="DH110" s="1"/>
      <c r="DI110" s="2"/>
      <c r="DJ110" s="2"/>
      <c r="DK110" s="2">
        <v>3</v>
      </c>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1"/>
      <c r="EK110" s="1"/>
      <c r="EL110" s="1"/>
      <c r="EM110" s="1"/>
      <c r="EN110" s="1"/>
      <c r="EO110" s="1"/>
      <c r="EP110" s="1"/>
      <c r="EQ110" s="1"/>
      <c r="ER110" s="1"/>
      <c r="ES110" s="1"/>
      <c r="ET110" s="1"/>
      <c r="EU110" s="2"/>
      <c r="EV110" s="2"/>
      <c r="EW110" s="2"/>
    </row>
    <row r="111" spans="1:153" x14ac:dyDescent="0.25">
      <c r="A111" s="1" t="s">
        <v>500</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v>30</v>
      </c>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v>30</v>
      </c>
      <c r="CI111" s="2"/>
      <c r="CJ111" s="2"/>
      <c r="CK111" s="2"/>
      <c r="CL111" s="2"/>
      <c r="CM111" s="2"/>
      <c r="CN111" s="2"/>
      <c r="CO111" s="2"/>
      <c r="CP111" s="2"/>
      <c r="CQ111" s="2"/>
      <c r="CR111" s="2"/>
      <c r="CS111" s="2"/>
      <c r="CT111" s="2"/>
      <c r="CU111" s="2"/>
      <c r="CV111" s="2"/>
      <c r="CW111" s="2"/>
      <c r="CX111" s="2"/>
      <c r="CY111" s="2"/>
      <c r="CZ111" s="2"/>
      <c r="DA111" s="2"/>
      <c r="DB111" s="2">
        <v>60</v>
      </c>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c r="EV111" s="2"/>
      <c r="EW111" s="2"/>
    </row>
    <row r="112" spans="1:153"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c r="AE112" s="2"/>
      <c r="AF112" s="2">
        <v>30</v>
      </c>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v>1</v>
      </c>
      <c r="EK112" s="2"/>
      <c r="EL112" s="2"/>
      <c r="EM112" s="2"/>
      <c r="EN112" s="2"/>
      <c r="EO112" s="2"/>
      <c r="EP112" s="2"/>
      <c r="EQ112" s="2"/>
      <c r="ER112" s="2"/>
      <c r="ES112" s="2"/>
      <c r="ET112" s="2"/>
      <c r="EU112" s="2"/>
      <c r="EV112" s="2"/>
      <c r="EW112" s="2"/>
    </row>
    <row r="113" spans="1:153" x14ac:dyDescent="0.25">
      <c r="A113" s="1" t="s">
        <v>149</v>
      </c>
      <c r="B113" s="1" t="s">
        <v>151</v>
      </c>
      <c r="C113" s="3" t="s">
        <v>68</v>
      </c>
      <c r="D113" s="2">
        <v>400</v>
      </c>
      <c r="E113" s="2"/>
      <c r="F113" s="1" t="s">
        <v>60</v>
      </c>
      <c r="G113" s="2"/>
      <c r="H113" s="2">
        <f t="shared" si="3"/>
        <v>165</v>
      </c>
      <c r="I113" s="1"/>
      <c r="J113" s="1"/>
      <c r="K113" s="1"/>
      <c r="L113" s="1"/>
      <c r="M113" s="1"/>
      <c r="N113" s="1"/>
      <c r="O113" s="1"/>
      <c r="P113" s="1"/>
      <c r="Q113" s="1">
        <v>60</v>
      </c>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v>60</v>
      </c>
      <c r="BJ113" s="1"/>
      <c r="BK113" s="1"/>
      <c r="BL113" s="1"/>
      <c r="BM113" s="1"/>
      <c r="BN113" s="1"/>
      <c r="BO113" s="1"/>
      <c r="BP113" s="1"/>
      <c r="BQ113" s="1"/>
      <c r="BR113" s="1"/>
      <c r="BS113" s="1"/>
      <c r="BT113" s="1"/>
      <c r="BU113" s="1"/>
      <c r="BV113" s="1"/>
      <c r="BW113" s="1"/>
      <c r="BX113" s="1"/>
      <c r="BY113" s="1"/>
      <c r="BZ113" s="1"/>
      <c r="CA113" s="1">
        <v>30</v>
      </c>
      <c r="CB113" s="1"/>
      <c r="CC113" s="1"/>
      <c r="CD113" s="2"/>
      <c r="CE113" s="2"/>
      <c r="CF113" s="1"/>
      <c r="CG113" s="1"/>
      <c r="CH113" s="1">
        <v>15</v>
      </c>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1"/>
      <c r="EK113" s="1"/>
      <c r="EL113" s="1"/>
      <c r="EM113" s="1"/>
      <c r="EN113" s="1"/>
      <c r="EO113" s="1"/>
      <c r="EP113" s="1"/>
      <c r="EQ113" s="1"/>
      <c r="ER113" s="1"/>
      <c r="ES113" s="1"/>
      <c r="ET113" s="1"/>
      <c r="EU113" s="2"/>
      <c r="EV113" s="2"/>
      <c r="EW113" s="2"/>
    </row>
    <row r="114" spans="1:153"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v>60</v>
      </c>
      <c r="BJ114" s="1"/>
      <c r="BK114" s="1"/>
      <c r="BL114" s="1"/>
      <c r="BM114" s="1"/>
      <c r="BN114" s="1"/>
      <c r="BO114" s="1"/>
      <c r="BP114" s="1"/>
      <c r="BQ114" s="1"/>
      <c r="BR114" s="1"/>
      <c r="BS114" s="1"/>
      <c r="BT114" s="1"/>
      <c r="BU114" s="1"/>
      <c r="BV114" s="1"/>
      <c r="BW114" s="1"/>
      <c r="BX114" s="1"/>
      <c r="BY114" s="1"/>
      <c r="BZ114" s="1"/>
      <c r="CA114" s="1">
        <v>30</v>
      </c>
      <c r="CB114" s="1"/>
      <c r="CC114" s="1"/>
      <c r="CD114" s="2"/>
      <c r="CE114" s="2"/>
      <c r="CF114" s="1"/>
      <c r="CG114" s="1"/>
      <c r="CH114" s="1">
        <v>15</v>
      </c>
      <c r="CI114" s="1"/>
      <c r="CJ114" s="1"/>
      <c r="CK114" s="1"/>
      <c r="CL114" s="1"/>
      <c r="CM114" s="1"/>
      <c r="CN114" s="1"/>
      <c r="CO114" s="1"/>
      <c r="CP114" s="1"/>
      <c r="CQ114" s="1"/>
      <c r="CR114" s="1"/>
      <c r="CS114" s="1"/>
      <c r="CT114" s="1"/>
      <c r="CU114" s="1"/>
      <c r="CV114" s="1"/>
      <c r="CW114" s="1"/>
      <c r="CX114" s="1"/>
      <c r="CY114" s="1"/>
      <c r="CZ114" s="1"/>
      <c r="DA114" s="1">
        <v>60</v>
      </c>
      <c r="DB114" s="1"/>
      <c r="DC114" s="1"/>
      <c r="DD114" s="1"/>
      <c r="DE114" s="1"/>
      <c r="DF114" s="1"/>
      <c r="DG114" s="1"/>
      <c r="DH114" s="1"/>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1"/>
      <c r="EK114" s="1"/>
      <c r="EL114" s="1"/>
      <c r="EM114" s="1"/>
      <c r="EN114" s="1"/>
      <c r="EO114" s="1"/>
      <c r="EP114" s="1"/>
      <c r="EQ114" s="1"/>
      <c r="ER114" s="1"/>
      <c r="ES114" s="1"/>
      <c r="ET114" s="1"/>
      <c r="EU114" s="2"/>
      <c r="EV114" s="2"/>
      <c r="EW114" s="2"/>
    </row>
    <row r="115" spans="1:153"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v>15</v>
      </c>
      <c r="BF115" s="2"/>
      <c r="BG115" s="2"/>
      <c r="BH115" s="2"/>
      <c r="BI115" s="2">
        <v>90</v>
      </c>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v>30</v>
      </c>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c r="EV115" s="2"/>
      <c r="EW115" s="2"/>
    </row>
    <row r="116" spans="1:153"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v>30</v>
      </c>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v>30</v>
      </c>
      <c r="CI116" s="2"/>
      <c r="CJ116" s="2"/>
      <c r="CK116" s="2"/>
      <c r="CL116" s="2"/>
      <c r="CM116" s="2"/>
      <c r="CN116" s="2"/>
      <c r="CO116" s="2"/>
      <c r="CP116" s="2"/>
      <c r="CQ116" s="2"/>
      <c r="CR116" s="2"/>
      <c r="CS116" s="2"/>
      <c r="CT116" s="2"/>
      <c r="CU116" s="2"/>
      <c r="CV116" s="2"/>
      <c r="CW116" s="2"/>
      <c r="CX116" s="2"/>
      <c r="CY116" s="2"/>
      <c r="CZ116" s="2">
        <v>15</v>
      </c>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v>1</v>
      </c>
      <c r="EK116" s="2"/>
      <c r="EL116" s="2"/>
      <c r="EM116" s="2"/>
      <c r="EN116" s="2"/>
      <c r="EO116" s="2"/>
      <c r="EP116" s="2"/>
      <c r="EQ116" s="2"/>
      <c r="ER116" s="2"/>
      <c r="ES116" s="2"/>
      <c r="ET116" s="2"/>
      <c r="EU116" s="2"/>
      <c r="EV116" s="2"/>
      <c r="EW116" s="2"/>
    </row>
    <row r="117" spans="1:153"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v>120</v>
      </c>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c r="EV117" s="2"/>
      <c r="EW117" s="2"/>
    </row>
    <row r="118" spans="1:153" x14ac:dyDescent="0.25">
      <c r="A118" s="1" t="s">
        <v>501</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v>180</v>
      </c>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c r="EV118" s="2"/>
      <c r="EW118" s="2"/>
    </row>
    <row r="119" spans="1:153"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v>30</v>
      </c>
      <c r="BF119" s="2"/>
      <c r="BG119" s="2"/>
      <c r="BH119" s="2"/>
      <c r="BI119" s="2"/>
      <c r="BJ119" s="2"/>
      <c r="BK119" s="2"/>
      <c r="BL119" s="2"/>
      <c r="BM119" s="2"/>
      <c r="BN119" s="2"/>
      <c r="BO119" s="2"/>
      <c r="BP119" s="2"/>
      <c r="BQ119" s="2"/>
      <c r="BR119" s="2"/>
      <c r="BS119" s="2"/>
      <c r="BT119" s="2"/>
      <c r="BU119" s="2"/>
      <c r="BV119" s="2">
        <v>60</v>
      </c>
      <c r="BW119" s="2"/>
      <c r="BX119" s="2"/>
      <c r="BY119" s="2"/>
      <c r="BZ119" s="2"/>
      <c r="CA119" s="2"/>
      <c r="CB119" s="2"/>
      <c r="CC119" s="2"/>
      <c r="CD119" s="2"/>
      <c r="CE119" s="2"/>
      <c r="CF119" s="2"/>
      <c r="CG119" s="2"/>
      <c r="CH119" s="2"/>
      <c r="CI119" s="2">
        <v>30</v>
      </c>
      <c r="CJ119" s="2"/>
      <c r="CK119" s="2"/>
      <c r="CL119" s="2"/>
      <c r="CM119" s="2"/>
      <c r="CN119" s="2"/>
      <c r="CO119" s="2"/>
      <c r="CP119" s="2"/>
      <c r="CQ119" s="3"/>
      <c r="CR119" s="2"/>
      <c r="CS119" s="2"/>
      <c r="CT119" s="2"/>
      <c r="CU119" s="2"/>
      <c r="CV119" s="2"/>
      <c r="CW119" s="2"/>
      <c r="CX119" s="2"/>
      <c r="CY119" s="2"/>
      <c r="CZ119" s="2"/>
      <c r="DA119" s="2"/>
      <c r="DB119" s="2">
        <v>30</v>
      </c>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c r="EV119" s="2"/>
      <c r="EW119" s="2"/>
    </row>
    <row r="120" spans="1:153"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c r="Z120" s="2">
        <v>135</v>
      </c>
      <c r="AA120" s="2"/>
      <c r="AB120" s="2"/>
      <c r="AC120" s="2"/>
      <c r="AD120" s="2"/>
      <c r="AE120" s="2"/>
      <c r="AF120" s="2"/>
      <c r="AG120" s="2"/>
      <c r="AH120" s="2"/>
      <c r="AI120" s="2"/>
      <c r="AJ120" s="2"/>
      <c r="AK120" s="2"/>
      <c r="AL120" s="2">
        <v>90</v>
      </c>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v>45</v>
      </c>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c r="EV120" s="2"/>
      <c r="EW120" s="2"/>
    </row>
    <row r="121" spans="1:153"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c r="Z121" s="2">
        <v>135</v>
      </c>
      <c r="AA121" s="2"/>
      <c r="AB121" s="2"/>
      <c r="AC121" s="2"/>
      <c r="AD121" s="2"/>
      <c r="AE121" s="2"/>
      <c r="AF121" s="2"/>
      <c r="AG121" s="2"/>
      <c r="AH121" s="2"/>
      <c r="AI121" s="2"/>
      <c r="AJ121" s="2"/>
      <c r="AK121" s="2"/>
      <c r="AL121" s="2"/>
      <c r="AM121" s="2">
        <v>90</v>
      </c>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v>45</v>
      </c>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c r="EV121" s="2"/>
      <c r="EW121" s="2"/>
    </row>
    <row r="122" spans="1:153" x14ac:dyDescent="0.25">
      <c r="A122" s="1" t="s">
        <v>511</v>
      </c>
      <c r="B122" s="1" t="s">
        <v>50</v>
      </c>
      <c r="C122" s="2" t="s">
        <v>63</v>
      </c>
      <c r="D122" s="2">
        <v>400</v>
      </c>
      <c r="E122" s="2">
        <v>160</v>
      </c>
      <c r="F122" s="2" t="s">
        <v>59</v>
      </c>
      <c r="G122" s="2">
        <v>240</v>
      </c>
      <c r="H122" s="2">
        <f t="shared" si="3"/>
        <v>180</v>
      </c>
      <c r="I122" s="2"/>
      <c r="J122" s="2"/>
      <c r="K122" s="2"/>
      <c r="L122" s="2"/>
      <c r="M122" s="2"/>
      <c r="N122" s="2"/>
      <c r="O122" s="2"/>
      <c r="P122" s="2"/>
      <c r="Q122" s="2">
        <v>60</v>
      </c>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v>120</v>
      </c>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c r="EV122" s="2"/>
      <c r="EW122" s="2"/>
    </row>
    <row r="123" spans="1:153"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v>45</v>
      </c>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v>60</v>
      </c>
      <c r="CA123" s="1"/>
      <c r="CB123" s="1"/>
      <c r="CC123" s="1"/>
      <c r="CD123" s="2"/>
      <c r="CE123" s="2"/>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1"/>
      <c r="EK123" s="1"/>
      <c r="EL123" s="1"/>
      <c r="EM123" s="1"/>
      <c r="EN123" s="1"/>
      <c r="EO123" s="1"/>
      <c r="EP123" s="1"/>
      <c r="EQ123" s="1"/>
      <c r="ER123" s="1"/>
      <c r="ES123" s="1"/>
      <c r="ET123" s="1"/>
      <c r="EU123" s="2"/>
      <c r="EV123" s="2"/>
      <c r="EW123" s="2"/>
    </row>
    <row r="124" spans="1:153"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v>45</v>
      </c>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2"/>
      <c r="CE124" s="2"/>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1"/>
      <c r="EK124" s="1"/>
      <c r="EL124" s="1"/>
      <c r="EM124" s="1"/>
      <c r="EN124" s="1"/>
      <c r="EO124" s="1"/>
      <c r="EP124" s="1"/>
      <c r="EQ124" s="1"/>
      <c r="ER124" s="1"/>
      <c r="ES124" s="1"/>
      <c r="ET124" s="1"/>
      <c r="EU124" s="2"/>
      <c r="EV124" s="2"/>
      <c r="EW124" s="2"/>
    </row>
    <row r="125" spans="1:153" x14ac:dyDescent="0.25">
      <c r="A125" s="13" t="s">
        <v>608</v>
      </c>
      <c r="B125" s="1" t="s">
        <v>278</v>
      </c>
      <c r="C125" s="2" t="s">
        <v>63</v>
      </c>
      <c r="D125" s="1">
        <v>2000</v>
      </c>
      <c r="E125" s="1">
        <v>300</v>
      </c>
      <c r="F125" s="2" t="s">
        <v>59</v>
      </c>
      <c r="G125" s="1">
        <v>1600</v>
      </c>
      <c r="H125" s="2">
        <f t="shared" si="3"/>
        <v>1310</v>
      </c>
      <c r="I125" s="1"/>
      <c r="J125" s="1"/>
      <c r="K125" s="1"/>
      <c r="L125" s="1"/>
      <c r="M125" s="1"/>
      <c r="N125" s="1"/>
      <c r="O125" s="1"/>
      <c r="P125" s="1"/>
      <c r="Q125" s="1"/>
      <c r="R125" s="1">
        <v>60</v>
      </c>
      <c r="S125" s="1"/>
      <c r="T125" s="1"/>
      <c r="U125" s="1"/>
      <c r="V125" s="1"/>
      <c r="W125" s="1"/>
      <c r="X125" s="1">
        <v>750</v>
      </c>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2"/>
      <c r="CE125" s="2"/>
      <c r="CF125" s="1"/>
      <c r="CG125" s="1"/>
      <c r="CH125" s="1"/>
      <c r="CI125" s="1"/>
      <c r="CJ125" s="1"/>
      <c r="CK125" s="1"/>
      <c r="CL125" s="1"/>
      <c r="CM125" s="1"/>
      <c r="CN125" s="1"/>
      <c r="CO125" s="1"/>
      <c r="CP125" s="1"/>
      <c r="CQ125" s="1"/>
      <c r="CR125" s="1"/>
      <c r="CS125" s="1"/>
      <c r="CT125" s="1"/>
      <c r="CU125" s="1"/>
      <c r="CV125" s="1"/>
      <c r="CW125" s="1">
        <v>500</v>
      </c>
      <c r="CX125" s="1"/>
      <c r="CY125" s="1"/>
      <c r="CZ125" s="1"/>
      <c r="DA125" s="1"/>
      <c r="DB125" s="1"/>
      <c r="DC125" s="1"/>
      <c r="DD125" s="1"/>
      <c r="DE125" s="1"/>
      <c r="DF125" s="1"/>
      <c r="DG125" s="1"/>
      <c r="DH125" s="1"/>
      <c r="DI125" s="2"/>
      <c r="DJ125" s="2"/>
      <c r="DK125" s="2"/>
      <c r="DL125" s="2"/>
      <c r="DM125" s="2"/>
      <c r="DN125" s="2"/>
      <c r="DO125" s="2"/>
      <c r="DP125" s="2">
        <v>1</v>
      </c>
      <c r="DQ125" s="2"/>
      <c r="DR125" s="2">
        <v>1</v>
      </c>
      <c r="DS125" s="2"/>
      <c r="DT125" s="2"/>
      <c r="DU125" s="2"/>
      <c r="DV125" s="2"/>
      <c r="DW125" s="2"/>
      <c r="DX125" s="2"/>
      <c r="DY125" s="2"/>
      <c r="DZ125" s="2"/>
      <c r="EA125" s="2"/>
      <c r="EB125" s="2">
        <v>1</v>
      </c>
      <c r="EC125" s="2"/>
      <c r="ED125" s="2"/>
      <c r="EE125" s="2"/>
      <c r="EF125" s="2"/>
      <c r="EG125" s="2"/>
      <c r="EH125" s="2"/>
      <c r="EI125" s="2"/>
      <c r="EJ125" s="1"/>
      <c r="EK125" s="1"/>
      <c r="EL125" s="1"/>
      <c r="EM125" s="1"/>
      <c r="EN125" s="1"/>
      <c r="EO125" s="1"/>
      <c r="EP125" s="1"/>
      <c r="EQ125" s="1"/>
      <c r="ER125" s="1"/>
      <c r="ES125" s="1"/>
      <c r="ET125" s="1"/>
      <c r="EU125" s="2"/>
      <c r="EV125" s="2"/>
      <c r="EW125" s="2"/>
    </row>
    <row r="126" spans="1:153" x14ac:dyDescent="0.25">
      <c r="A126" s="1" t="s">
        <v>536</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v>90</v>
      </c>
      <c r="BF126" s="1">
        <v>300</v>
      </c>
      <c r="BG126" s="1"/>
      <c r="BH126" s="1"/>
      <c r="BI126" s="1"/>
      <c r="BJ126" s="1"/>
      <c r="BK126" s="1"/>
      <c r="BL126" s="1"/>
      <c r="BM126" s="1"/>
      <c r="BN126" s="1"/>
      <c r="BO126" s="1"/>
      <c r="BP126" s="1"/>
      <c r="BQ126" s="1"/>
      <c r="BR126" s="1"/>
      <c r="BS126" s="1"/>
      <c r="BT126" s="1"/>
      <c r="BU126" s="1">
        <v>600</v>
      </c>
      <c r="BV126" s="1"/>
      <c r="BW126" s="1"/>
      <c r="BX126" s="1"/>
      <c r="BY126" s="1"/>
      <c r="BZ126" s="1"/>
      <c r="CA126" s="1"/>
      <c r="CB126" s="1"/>
      <c r="CC126" s="1"/>
      <c r="CD126" s="2"/>
      <c r="CE126" s="2"/>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1"/>
      <c r="EK126" s="1"/>
      <c r="EL126" s="1">
        <v>1</v>
      </c>
      <c r="EM126" s="1"/>
      <c r="EN126" s="1"/>
      <c r="EO126" s="1"/>
      <c r="EP126" s="1"/>
      <c r="EQ126" s="1"/>
      <c r="ER126" s="1">
        <v>1</v>
      </c>
      <c r="ES126" s="1"/>
      <c r="ET126" s="1">
        <v>1</v>
      </c>
      <c r="EU126" s="2"/>
      <c r="EV126" s="2"/>
      <c r="EW126" s="2"/>
    </row>
    <row r="127" spans="1:153"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v>30</v>
      </c>
      <c r="BH127" s="2"/>
      <c r="BI127" s="2"/>
      <c r="BJ127" s="2"/>
      <c r="BK127" s="2"/>
      <c r="BL127" s="2"/>
      <c r="BM127" s="2">
        <v>120</v>
      </c>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c r="EV127" s="2"/>
      <c r="EW127" s="2"/>
    </row>
    <row r="128" spans="1:153"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v>15</v>
      </c>
      <c r="BF128" s="2"/>
      <c r="BG128" s="2"/>
      <c r="BH128" s="2"/>
      <c r="BI128" s="2"/>
      <c r="BJ128" s="2"/>
      <c r="BK128" s="2">
        <v>90</v>
      </c>
      <c r="BL128" s="2"/>
      <c r="BM128" s="2"/>
      <c r="BN128" s="2"/>
      <c r="BO128" s="2"/>
      <c r="BP128" s="2"/>
      <c r="BQ128" s="2"/>
      <c r="BR128" s="2"/>
      <c r="BS128" s="2"/>
      <c r="BT128" s="2"/>
      <c r="BU128" s="2"/>
      <c r="BV128" s="2"/>
      <c r="BW128" s="2"/>
      <c r="BX128" s="2"/>
      <c r="BY128" s="2"/>
      <c r="BZ128" s="2"/>
      <c r="CA128" s="2"/>
      <c r="CB128" s="2"/>
      <c r="CC128" s="2"/>
      <c r="CD128" s="2"/>
      <c r="CE128" s="2"/>
      <c r="CF128" s="2"/>
      <c r="CG128" s="2"/>
      <c r="CH128" s="2">
        <v>15</v>
      </c>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c r="EV128" s="2"/>
      <c r="EW128" s="2"/>
    </row>
    <row r="129" spans="1:153"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v>30</v>
      </c>
      <c r="BB129" s="1"/>
      <c r="BC129" s="1"/>
      <c r="BD129" s="1"/>
      <c r="BE129" s="1"/>
      <c r="BF129" s="1">
        <v>60</v>
      </c>
      <c r="BG129" s="1"/>
      <c r="BH129" s="1"/>
      <c r="BI129" s="1"/>
      <c r="BJ129" s="1"/>
      <c r="BK129" s="1"/>
      <c r="BL129" s="1"/>
      <c r="BM129" s="1">
        <v>60</v>
      </c>
      <c r="BN129" s="1"/>
      <c r="BO129" s="1"/>
      <c r="BP129" s="1"/>
      <c r="BQ129" s="1"/>
      <c r="BR129" s="1"/>
      <c r="BS129" s="1"/>
      <c r="BT129" s="1"/>
      <c r="BU129" s="1"/>
      <c r="BV129" s="1"/>
      <c r="BW129" s="1"/>
      <c r="BX129" s="1"/>
      <c r="BY129" s="1"/>
      <c r="BZ129" s="1"/>
      <c r="CA129" s="1"/>
      <c r="CB129" s="1"/>
      <c r="CC129" s="1"/>
      <c r="CD129" s="2"/>
      <c r="CE129" s="2"/>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1"/>
      <c r="EK129" s="1"/>
      <c r="EL129" s="1"/>
      <c r="EM129" s="1"/>
      <c r="EN129" s="1"/>
      <c r="EO129" s="1"/>
      <c r="EP129" s="1"/>
      <c r="EQ129" s="1"/>
      <c r="ER129" s="1"/>
      <c r="ES129" s="1"/>
      <c r="ET129" s="1"/>
      <c r="EU129" s="2"/>
      <c r="EV129" s="2"/>
      <c r="EW129" s="2"/>
    </row>
    <row r="130" spans="1:153" x14ac:dyDescent="0.25">
      <c r="A130" s="1" t="s">
        <v>582</v>
      </c>
      <c r="B130" s="1" t="s">
        <v>151</v>
      </c>
      <c r="C130" s="2" t="s">
        <v>63</v>
      </c>
      <c r="D130" s="2">
        <v>400</v>
      </c>
      <c r="E130" s="2">
        <v>160</v>
      </c>
      <c r="F130" s="2" t="s">
        <v>59</v>
      </c>
      <c r="G130" s="2">
        <v>240</v>
      </c>
      <c r="H130" s="2">
        <f t="shared" ref="H130:H161" si="4">SUM(I130:DF130)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v>60</v>
      </c>
      <c r="BG130" s="1"/>
      <c r="BH130" s="1"/>
      <c r="BI130" s="1"/>
      <c r="BJ130" s="1"/>
      <c r="BK130" s="1"/>
      <c r="BL130" s="1"/>
      <c r="BM130" s="1">
        <v>60</v>
      </c>
      <c r="BN130" s="1"/>
      <c r="BO130" s="1"/>
      <c r="BP130" s="1"/>
      <c r="BQ130" s="1">
        <v>30</v>
      </c>
      <c r="BR130" s="1"/>
      <c r="BS130" s="1"/>
      <c r="BT130" s="1"/>
      <c r="BU130" s="1"/>
      <c r="BV130" s="1"/>
      <c r="BW130" s="1"/>
      <c r="BX130" s="1"/>
      <c r="BY130" s="1"/>
      <c r="BZ130" s="1"/>
      <c r="CA130" s="1"/>
      <c r="CB130" s="1"/>
      <c r="CC130" s="1"/>
      <c r="CD130" s="2"/>
      <c r="CE130" s="2"/>
      <c r="CF130" s="1"/>
      <c r="CG130" s="1"/>
      <c r="CH130" s="1"/>
      <c r="CI130" s="1"/>
      <c r="CJ130" s="1"/>
      <c r="CK130" s="1"/>
      <c r="CL130" s="1"/>
      <c r="CM130" s="1"/>
      <c r="CN130" s="1"/>
      <c r="CO130" s="1"/>
      <c r="CP130" s="1"/>
      <c r="CQ130" s="1"/>
      <c r="CR130" s="1"/>
      <c r="CS130" s="1"/>
      <c r="CT130" s="1"/>
      <c r="CU130" s="1"/>
      <c r="CV130" s="1"/>
      <c r="CW130" s="1"/>
      <c r="CX130" s="1"/>
      <c r="CY130" s="1"/>
      <c r="CZ130" s="1"/>
      <c r="DA130" s="1">
        <v>30</v>
      </c>
      <c r="DB130" s="1"/>
      <c r="DC130" s="1"/>
      <c r="DD130" s="1"/>
      <c r="DE130" s="1"/>
      <c r="DF130" s="1"/>
      <c r="DG130" s="1"/>
      <c r="DH130" s="1"/>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1"/>
      <c r="EK130" s="1"/>
      <c r="EL130" s="1"/>
      <c r="EM130" s="1"/>
      <c r="EN130" s="1"/>
      <c r="EO130" s="1"/>
      <c r="EP130" s="1"/>
      <c r="EQ130" s="1"/>
      <c r="ER130" s="1"/>
      <c r="ES130" s="1"/>
      <c r="ET130" s="1"/>
      <c r="EU130" s="2"/>
      <c r="EV130" s="2"/>
      <c r="EW130" s="2"/>
    </row>
    <row r="131" spans="1:153"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c r="S131" s="1">
        <v>30</v>
      </c>
      <c r="T131" s="1"/>
      <c r="U131" s="1"/>
      <c r="V131" s="1"/>
      <c r="W131" s="1"/>
      <c r="X131" s="1"/>
      <c r="Y131" s="1"/>
      <c r="Z131" s="1"/>
      <c r="AA131" s="1"/>
      <c r="AB131" s="1"/>
      <c r="AC131" s="1"/>
      <c r="AD131" s="1"/>
      <c r="AE131" s="1"/>
      <c r="AF131" s="1"/>
      <c r="AG131" s="1"/>
      <c r="AH131" s="1"/>
      <c r="AI131" s="1"/>
      <c r="AJ131" s="1"/>
      <c r="AK131" s="1"/>
      <c r="AL131" s="1"/>
      <c r="AM131" s="1"/>
      <c r="AN131" s="1"/>
      <c r="AO131" s="1">
        <v>30</v>
      </c>
      <c r="AP131" s="1"/>
      <c r="AQ131" s="1"/>
      <c r="AR131" s="1"/>
      <c r="AS131" s="1"/>
      <c r="AT131" s="1"/>
      <c r="AU131" s="1"/>
      <c r="AV131" s="1"/>
      <c r="AW131" s="1"/>
      <c r="AX131" s="1"/>
      <c r="AY131" s="1"/>
      <c r="AZ131" s="1"/>
      <c r="BA131" s="1"/>
      <c r="BB131" s="1"/>
      <c r="BC131" s="1"/>
      <c r="BD131" s="1"/>
      <c r="BE131" s="1">
        <v>30</v>
      </c>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2"/>
      <c r="CE131" s="2"/>
      <c r="CF131" s="1"/>
      <c r="CG131" s="1"/>
      <c r="CH131" s="1">
        <v>15</v>
      </c>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1"/>
      <c r="EK131" s="1"/>
      <c r="EL131" s="1"/>
      <c r="EM131" s="1"/>
      <c r="EN131" s="1"/>
      <c r="EO131" s="1"/>
      <c r="EP131" s="1"/>
      <c r="EQ131" s="1"/>
      <c r="ER131" s="1"/>
      <c r="ES131" s="1"/>
      <c r="ET131" s="1"/>
      <c r="EU131" s="2"/>
      <c r="EV131" s="2"/>
      <c r="EW131" s="2"/>
    </row>
    <row r="132" spans="1:153"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c r="AD132" s="2"/>
      <c r="AE132" s="2">
        <v>60</v>
      </c>
      <c r="AF132" s="2"/>
      <c r="AG132" s="2"/>
      <c r="AH132" s="2"/>
      <c r="AI132" s="2"/>
      <c r="AJ132" s="2"/>
      <c r="AK132" s="2"/>
      <c r="AL132" s="2"/>
      <c r="AM132" s="2">
        <v>15</v>
      </c>
      <c r="AN132" s="2"/>
      <c r="AO132" s="2"/>
      <c r="AP132" s="2"/>
      <c r="AQ132" s="2"/>
      <c r="AR132" s="2"/>
      <c r="AS132" s="2"/>
      <c r="AT132" s="2"/>
      <c r="AU132" s="2"/>
      <c r="AV132" s="2"/>
      <c r="AW132" s="2"/>
      <c r="AX132" s="2"/>
      <c r="AY132" s="2"/>
      <c r="AZ132" s="2"/>
      <c r="BA132" s="2"/>
      <c r="BB132" s="2"/>
      <c r="BC132" s="2"/>
      <c r="BD132" s="2"/>
      <c r="BE132" s="2">
        <v>15</v>
      </c>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v>60</v>
      </c>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c r="EV132" s="2"/>
      <c r="EW132" s="2"/>
    </row>
    <row r="133" spans="1:153"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v>30</v>
      </c>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v>30</v>
      </c>
      <c r="CK133" s="2"/>
      <c r="CL133" s="2"/>
      <c r="CM133" s="2"/>
      <c r="CN133" s="2"/>
      <c r="CO133" s="2"/>
      <c r="CP133" s="2"/>
      <c r="CQ133" s="2"/>
      <c r="CR133" s="2"/>
      <c r="CS133" s="2"/>
      <c r="CT133" s="2"/>
      <c r="CU133" s="2"/>
      <c r="CV133" s="2"/>
      <c r="CW133" s="2"/>
      <c r="CX133" s="2"/>
      <c r="CY133" s="2"/>
      <c r="CZ133" s="2">
        <v>15</v>
      </c>
      <c r="DA133" s="2">
        <v>60</v>
      </c>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c r="EV133" s="2"/>
      <c r="EW133" s="2"/>
    </row>
    <row r="134" spans="1:153"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v>120</v>
      </c>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v>15</v>
      </c>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c r="EV134" s="2"/>
      <c r="EW134" s="2"/>
    </row>
    <row r="135" spans="1:153"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c r="AA135" s="1">
        <v>300</v>
      </c>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2"/>
      <c r="CE135" s="2"/>
      <c r="CF135" s="1">
        <v>150</v>
      </c>
      <c r="CG135" s="1">
        <v>30</v>
      </c>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1"/>
      <c r="EK135" s="1"/>
      <c r="EL135" s="1"/>
      <c r="EM135" s="1"/>
      <c r="EN135" s="1"/>
      <c r="EO135" s="1"/>
      <c r="EP135" s="1"/>
      <c r="EQ135" s="1"/>
      <c r="ER135" s="1"/>
      <c r="ES135" s="1"/>
      <c r="ET135" s="1"/>
      <c r="EU135" s="2"/>
      <c r="EV135" s="2"/>
      <c r="EW135" s="2"/>
    </row>
    <row r="136" spans="1:153"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2"/>
      <c r="CE136" s="2"/>
      <c r="CF136" s="1">
        <v>150</v>
      </c>
      <c r="CG136" s="1">
        <v>30</v>
      </c>
      <c r="CH136" s="1"/>
      <c r="CI136" s="1"/>
      <c r="CJ136" s="1"/>
      <c r="CK136" s="1"/>
      <c r="CL136" s="1"/>
      <c r="CM136" s="1"/>
      <c r="CN136" s="1"/>
      <c r="CO136" s="1"/>
      <c r="CP136" s="1"/>
      <c r="CQ136" s="1"/>
      <c r="CR136" s="1"/>
      <c r="CS136" s="1"/>
      <c r="CT136" s="1"/>
      <c r="CU136" s="1"/>
      <c r="CV136" s="1"/>
      <c r="CW136" s="1">
        <v>300</v>
      </c>
      <c r="CX136" s="1"/>
      <c r="CY136" s="1"/>
      <c r="CZ136" s="1"/>
      <c r="DA136" s="1"/>
      <c r="DB136" s="1"/>
      <c r="DC136" s="1"/>
      <c r="DD136" s="1"/>
      <c r="DE136" s="1"/>
      <c r="DF136" s="1"/>
      <c r="DG136" s="1"/>
      <c r="DH136" s="1"/>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1"/>
      <c r="EK136" s="1"/>
      <c r="EL136" s="1"/>
      <c r="EM136" s="1"/>
      <c r="EN136" s="1"/>
      <c r="EO136" s="1"/>
      <c r="EP136" s="1"/>
      <c r="EQ136" s="1"/>
      <c r="ER136" s="1"/>
      <c r="ES136" s="1"/>
      <c r="ET136" s="1"/>
      <c r="EU136" s="2"/>
      <c r="EV136" s="2"/>
      <c r="EW136" s="2"/>
    </row>
    <row r="137" spans="1:153" x14ac:dyDescent="0.25">
      <c r="A137" s="13" t="s">
        <v>606</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c r="X137" s="1">
        <v>750</v>
      </c>
      <c r="Y137" s="1"/>
      <c r="Z137" s="1"/>
      <c r="AA137" s="1"/>
      <c r="AB137" s="1"/>
      <c r="AC137" s="1"/>
      <c r="AD137" s="1"/>
      <c r="AE137" s="1"/>
      <c r="AF137" s="1">
        <v>100</v>
      </c>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2"/>
      <c r="CE137" s="2"/>
      <c r="CF137" s="1"/>
      <c r="CG137" s="1"/>
      <c r="CH137" s="1"/>
      <c r="CI137" s="1"/>
      <c r="CJ137" s="1"/>
      <c r="CK137" s="1"/>
      <c r="CL137" s="1"/>
      <c r="CM137" s="1"/>
      <c r="CN137" s="1"/>
      <c r="CO137" s="1"/>
      <c r="CP137" s="1"/>
      <c r="CQ137" s="1"/>
      <c r="CR137" s="1"/>
      <c r="CS137" s="1"/>
      <c r="CT137" s="1"/>
      <c r="CU137" s="1"/>
      <c r="CV137" s="1"/>
      <c r="CW137" s="1">
        <v>750</v>
      </c>
      <c r="CX137" s="1"/>
      <c r="CY137" s="1"/>
      <c r="CZ137" s="1"/>
      <c r="DA137" s="1"/>
      <c r="DB137" s="1"/>
      <c r="DC137" s="1"/>
      <c r="DD137" s="1"/>
      <c r="DE137" s="1"/>
      <c r="DF137" s="1"/>
      <c r="DG137" s="1"/>
      <c r="DH137" s="1"/>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1"/>
      <c r="EK137" s="1"/>
      <c r="EL137" s="1"/>
      <c r="EM137" s="1"/>
      <c r="EN137" s="1"/>
      <c r="EO137" s="1"/>
      <c r="EP137" s="1"/>
      <c r="EQ137" s="1"/>
      <c r="ER137" s="1"/>
      <c r="ES137" s="1"/>
      <c r="ET137" s="1"/>
      <c r="EU137" s="2"/>
      <c r="EV137" s="2"/>
      <c r="EW137" s="2"/>
    </row>
    <row r="138" spans="1:153"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v>30</v>
      </c>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v>30</v>
      </c>
      <c r="CI138" s="2"/>
      <c r="CJ138" s="2"/>
      <c r="CK138" s="2"/>
      <c r="CL138" s="2"/>
      <c r="CM138" s="2"/>
      <c r="CN138" s="2"/>
      <c r="CO138" s="2"/>
      <c r="CP138" s="2"/>
      <c r="CQ138" s="2"/>
      <c r="CR138" s="2"/>
      <c r="CS138" s="2"/>
      <c r="CT138" s="2"/>
      <c r="CU138" s="2"/>
      <c r="CV138" s="2"/>
      <c r="CW138" s="2"/>
      <c r="CX138" s="2"/>
      <c r="CY138" s="2"/>
      <c r="CZ138" s="2"/>
      <c r="DA138" s="2"/>
      <c r="DB138" s="2">
        <v>60</v>
      </c>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c r="EV138" s="2"/>
      <c r="EW138" s="2"/>
    </row>
    <row r="139" spans="1:153" x14ac:dyDescent="0.25">
      <c r="A139" s="1" t="s">
        <v>586</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v>15</v>
      </c>
      <c r="AI139" s="2"/>
      <c r="AJ139" s="2"/>
      <c r="AK139" s="2"/>
      <c r="AL139" s="2"/>
      <c r="AM139" s="2"/>
      <c r="AN139" s="2"/>
      <c r="AO139" s="2"/>
      <c r="AP139" s="2"/>
      <c r="AQ139" s="2"/>
      <c r="AR139" s="2"/>
      <c r="AS139" s="2"/>
      <c r="AT139" s="2"/>
      <c r="AU139" s="2"/>
      <c r="AV139" s="2"/>
      <c r="AW139" s="2"/>
      <c r="AX139" s="2"/>
      <c r="AY139" s="2"/>
      <c r="AZ139" s="2"/>
      <c r="BA139" s="2"/>
      <c r="BB139" s="2"/>
      <c r="BC139" s="2"/>
      <c r="BD139" s="2"/>
      <c r="BE139" s="2">
        <v>15</v>
      </c>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v>180</v>
      </c>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c r="EV139" s="2"/>
      <c r="EW139" s="2"/>
    </row>
    <row r="140" spans="1:153" x14ac:dyDescent="0.25">
      <c r="A140" s="1" t="s">
        <v>425</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v>15</v>
      </c>
      <c r="BC140" s="1"/>
      <c r="BD140" s="1"/>
      <c r="BE140" s="1">
        <v>30</v>
      </c>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2"/>
      <c r="CE140" s="2"/>
      <c r="CF140" s="1"/>
      <c r="CG140" s="1"/>
      <c r="CH140" s="1"/>
      <c r="CI140" s="1"/>
      <c r="CJ140" s="1">
        <v>30</v>
      </c>
      <c r="CK140" s="1"/>
      <c r="CL140" s="1"/>
      <c r="CM140" s="1"/>
      <c r="CN140" s="1"/>
      <c r="CO140" s="1"/>
      <c r="CP140" s="1"/>
      <c r="CQ140" s="1"/>
      <c r="CR140" s="1"/>
      <c r="CS140" s="1"/>
      <c r="CT140" s="1"/>
      <c r="CU140" s="1"/>
      <c r="CV140" s="1"/>
      <c r="CW140" s="1"/>
      <c r="CX140" s="1"/>
      <c r="CY140" s="1"/>
      <c r="CZ140" s="1"/>
      <c r="DA140" s="1"/>
      <c r="DB140" s="1">
        <v>60</v>
      </c>
      <c r="DC140" s="1"/>
      <c r="DD140" s="1"/>
      <c r="DE140" s="1"/>
      <c r="DF140" s="1"/>
      <c r="DG140" s="1"/>
      <c r="DH140" s="1"/>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1"/>
      <c r="EK140" s="1"/>
      <c r="EL140" s="1"/>
      <c r="EM140" s="1"/>
      <c r="EN140" s="1"/>
      <c r="EO140" s="1"/>
      <c r="EP140" s="1"/>
      <c r="EQ140" s="1"/>
      <c r="ER140" s="1"/>
      <c r="ES140" s="1"/>
      <c r="ET140" s="1"/>
      <c r="EU140" s="2"/>
      <c r="EV140" s="2"/>
      <c r="EW140" s="2"/>
    </row>
    <row r="141" spans="1:153" x14ac:dyDescent="0.25">
      <c r="A141" s="1" t="s">
        <v>613</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c r="AC141" s="1">
        <v>240</v>
      </c>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2"/>
      <c r="CE141" s="2"/>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2"/>
      <c r="DJ141" s="2"/>
      <c r="DK141" s="2"/>
      <c r="DL141" s="2"/>
      <c r="DM141" s="2"/>
      <c r="DN141" s="2"/>
      <c r="DO141" s="2"/>
      <c r="DP141" s="2"/>
      <c r="DQ141" s="2"/>
      <c r="DR141" s="2"/>
      <c r="DS141" s="2"/>
      <c r="DT141" s="2"/>
      <c r="DU141" s="2"/>
      <c r="DV141" s="2">
        <v>1</v>
      </c>
      <c r="DW141" s="2"/>
      <c r="DX141" s="2"/>
      <c r="DY141" s="2"/>
      <c r="DZ141" s="2"/>
      <c r="EA141" s="2"/>
      <c r="EB141" s="2"/>
      <c r="EC141" s="2"/>
      <c r="ED141" s="2"/>
      <c r="EE141" s="2"/>
      <c r="EF141" s="2"/>
      <c r="EG141" s="2">
        <v>4</v>
      </c>
      <c r="EH141" s="2"/>
      <c r="EI141" s="2"/>
      <c r="EJ141" s="1"/>
      <c r="EK141" s="1"/>
      <c r="EL141" s="1"/>
      <c r="EM141" s="1"/>
      <c r="EN141" s="1"/>
      <c r="EO141" s="1"/>
      <c r="EP141" s="1">
        <v>1</v>
      </c>
      <c r="EQ141" s="1"/>
      <c r="ER141" s="1"/>
      <c r="ES141" s="1"/>
      <c r="ET141" s="1"/>
      <c r="EU141" s="2">
        <v>1</v>
      </c>
      <c r="EV141" s="2"/>
      <c r="EW141" s="2"/>
    </row>
    <row r="142" spans="1:153"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v>15</v>
      </c>
      <c r="BF142" s="1"/>
      <c r="BG142" s="1"/>
      <c r="BH142" s="1"/>
      <c r="BI142" s="1"/>
      <c r="BJ142" s="1"/>
      <c r="BK142" s="1"/>
      <c r="BL142" s="1"/>
      <c r="BM142" s="1"/>
      <c r="BN142" s="1"/>
      <c r="BO142" s="1"/>
      <c r="BP142" s="1">
        <v>30</v>
      </c>
      <c r="BQ142" s="1"/>
      <c r="BR142" s="1"/>
      <c r="BS142" s="1"/>
      <c r="BT142" s="1"/>
      <c r="BU142" s="1"/>
      <c r="BV142" s="1"/>
      <c r="BW142" s="1"/>
      <c r="BX142" s="1"/>
      <c r="BY142" s="1"/>
      <c r="BZ142" s="1"/>
      <c r="CA142" s="1"/>
      <c r="CB142" s="1"/>
      <c r="CC142" s="1"/>
      <c r="CD142" s="2"/>
      <c r="CE142" s="2"/>
      <c r="CF142" s="1"/>
      <c r="CG142" s="1"/>
      <c r="CH142" s="1">
        <v>15</v>
      </c>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1"/>
      <c r="EK142" s="1"/>
      <c r="EL142" s="1"/>
      <c r="EM142" s="1"/>
      <c r="EN142" s="1"/>
      <c r="EO142" s="1"/>
      <c r="EP142" s="1"/>
      <c r="EQ142" s="1"/>
      <c r="ER142" s="1"/>
      <c r="ES142" s="1"/>
      <c r="ET142" s="1"/>
      <c r="EU142" s="2"/>
      <c r="EV142" s="2"/>
      <c r="EW142" s="2"/>
    </row>
    <row r="143" spans="1:153" x14ac:dyDescent="0.25">
      <c r="A143" s="1" t="s">
        <v>537</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v>15</v>
      </c>
      <c r="BF143" s="1">
        <v>30</v>
      </c>
      <c r="BG143" s="1"/>
      <c r="BH143" s="1"/>
      <c r="BI143" s="1"/>
      <c r="BJ143" s="1"/>
      <c r="BK143" s="1"/>
      <c r="BL143" s="1"/>
      <c r="BM143" s="1"/>
      <c r="BN143" s="1"/>
      <c r="BO143" s="1"/>
      <c r="BP143" s="1"/>
      <c r="BQ143" s="1"/>
      <c r="BR143" s="1"/>
      <c r="BS143" s="1"/>
      <c r="BT143" s="1"/>
      <c r="BU143" s="1">
        <v>30</v>
      </c>
      <c r="BV143" s="1"/>
      <c r="BW143" s="1"/>
      <c r="BX143" s="1"/>
      <c r="BY143" s="1"/>
      <c r="BZ143" s="1"/>
      <c r="CA143" s="1"/>
      <c r="CB143" s="1"/>
      <c r="CC143" s="1"/>
      <c r="CD143" s="2"/>
      <c r="CE143" s="2"/>
      <c r="CF143" s="1"/>
      <c r="CG143" s="1">
        <v>15</v>
      </c>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1"/>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1"/>
      <c r="EK143" s="1"/>
      <c r="EL143" s="1">
        <v>1</v>
      </c>
      <c r="EM143" s="1"/>
      <c r="EN143" s="1"/>
      <c r="EO143" s="1"/>
      <c r="EP143" s="1"/>
      <c r="EQ143" s="1"/>
      <c r="ER143" s="1">
        <v>1</v>
      </c>
      <c r="ES143" s="1"/>
      <c r="ET143" s="1">
        <v>1</v>
      </c>
      <c r="EU143" s="2"/>
      <c r="EV143" s="2"/>
      <c r="EW143" s="2"/>
    </row>
    <row r="144" spans="1:153"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v>30</v>
      </c>
      <c r="BF144" s="1"/>
      <c r="BG144" s="1"/>
      <c r="BH144" s="1"/>
      <c r="BI144" s="1"/>
      <c r="BJ144" s="1"/>
      <c r="BK144" s="1"/>
      <c r="BL144" s="1"/>
      <c r="BM144" s="1"/>
      <c r="BN144" s="1"/>
      <c r="BO144" s="1">
        <v>30</v>
      </c>
      <c r="BP144" s="1"/>
      <c r="BQ144" s="1"/>
      <c r="BR144" s="1"/>
      <c r="BS144" s="1"/>
      <c r="BT144" s="1"/>
      <c r="BU144" s="1"/>
      <c r="BV144" s="1"/>
      <c r="BW144" s="1"/>
      <c r="BX144" s="1"/>
      <c r="BY144" s="1"/>
      <c r="BZ144" s="1"/>
      <c r="CA144" s="1"/>
      <c r="CB144" s="1"/>
      <c r="CC144" s="1"/>
      <c r="CD144" s="2"/>
      <c r="CE144" s="2"/>
      <c r="CF144" s="1"/>
      <c r="CG144" s="1"/>
      <c r="CH144" s="1"/>
      <c r="CI144" s="1"/>
      <c r="CJ144" s="1"/>
      <c r="CK144" s="1"/>
      <c r="CL144" s="1"/>
      <c r="CM144" s="1"/>
      <c r="CN144" s="1"/>
      <c r="CO144" s="1">
        <v>15</v>
      </c>
      <c r="CP144" s="1"/>
      <c r="CQ144" s="1"/>
      <c r="CR144" s="1"/>
      <c r="CS144" s="1"/>
      <c r="CT144" s="1"/>
      <c r="CU144" s="1"/>
      <c r="CV144" s="1"/>
      <c r="CW144" s="1"/>
      <c r="CX144" s="1"/>
      <c r="CY144" s="1"/>
      <c r="CZ144" s="1"/>
      <c r="DA144" s="1"/>
      <c r="DB144" s="1"/>
      <c r="DC144" s="1"/>
      <c r="DD144" s="1"/>
      <c r="DE144" s="1"/>
      <c r="DF144" s="1"/>
      <c r="DG144" s="1"/>
      <c r="DH144" s="1"/>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1"/>
      <c r="EK144" s="1"/>
      <c r="EL144" s="1"/>
      <c r="EM144" s="1"/>
      <c r="EN144" s="1"/>
      <c r="EO144" s="1"/>
      <c r="EP144" s="1"/>
      <c r="EQ144" s="1"/>
      <c r="ER144" s="1"/>
      <c r="ES144" s="1"/>
      <c r="ET144" s="1"/>
      <c r="EU144" s="2"/>
      <c r="EV144" s="2"/>
      <c r="EW144" s="2"/>
    </row>
    <row r="145" spans="1:153" x14ac:dyDescent="0.25">
      <c r="A145" s="1" t="s">
        <v>495</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c r="AE145" s="1"/>
      <c r="AF145" s="1">
        <v>60</v>
      </c>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2"/>
      <c r="CE145" s="2"/>
      <c r="CF145" s="1"/>
      <c r="CG145" s="1"/>
      <c r="CH145" s="1"/>
      <c r="CI145" s="1"/>
      <c r="CJ145" s="1"/>
      <c r="CK145" s="1"/>
      <c r="CL145" s="1"/>
      <c r="CM145" s="1"/>
      <c r="CN145" s="1"/>
      <c r="CO145" s="1"/>
      <c r="CP145" s="1"/>
      <c r="CQ145" s="1"/>
      <c r="CR145" s="1"/>
      <c r="CS145" s="1"/>
      <c r="CT145" s="1"/>
      <c r="CU145" s="1"/>
      <c r="CV145" s="1"/>
      <c r="CW145" s="1"/>
      <c r="CX145" s="1"/>
      <c r="CY145" s="1"/>
      <c r="CZ145" s="1"/>
      <c r="DA145" s="1"/>
      <c r="DB145" s="1">
        <v>60</v>
      </c>
      <c r="DC145" s="1"/>
      <c r="DD145" s="1"/>
      <c r="DE145" s="1"/>
      <c r="DF145" s="1"/>
      <c r="DG145" s="1"/>
      <c r="DH145" s="1"/>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1"/>
      <c r="EK145" s="1"/>
      <c r="EL145" s="1"/>
      <c r="EM145" s="1"/>
      <c r="EN145" s="1"/>
      <c r="EO145" s="1"/>
      <c r="EP145" s="1"/>
      <c r="EQ145" s="1"/>
      <c r="ER145" s="1"/>
      <c r="ES145" s="1"/>
      <c r="ET145" s="1"/>
      <c r="EU145" s="2"/>
      <c r="EV145" s="2"/>
      <c r="EW145" s="2"/>
    </row>
    <row r="146" spans="1:153"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v>90</v>
      </c>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v>180</v>
      </c>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c r="EV146" s="2"/>
      <c r="EW146" s="2"/>
    </row>
    <row r="147" spans="1:153" x14ac:dyDescent="0.25">
      <c r="A147" s="1" t="s">
        <v>716</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v>120</v>
      </c>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c r="EV147" s="2"/>
      <c r="EW147" s="2"/>
    </row>
    <row r="148" spans="1:153" x14ac:dyDescent="0.25">
      <c r="A148" s="1" t="s">
        <v>690</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v>120</v>
      </c>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c r="EV148" s="2"/>
      <c r="EW148" s="2"/>
    </row>
    <row r="149" spans="1:153" x14ac:dyDescent="0.25">
      <c r="A149" s="1" t="s">
        <v>694</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v>15</v>
      </c>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v>120</v>
      </c>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c r="EV149" s="2"/>
      <c r="EW149" s="2"/>
    </row>
    <row r="150" spans="1:153"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v>30</v>
      </c>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v>30</v>
      </c>
      <c r="CI150" s="2"/>
      <c r="CJ150" s="2"/>
      <c r="CK150" s="2"/>
      <c r="CL150" s="2"/>
      <c r="CM150" s="2"/>
      <c r="CN150" s="2"/>
      <c r="CO150" s="2"/>
      <c r="CP150" s="2"/>
      <c r="CQ150" s="2"/>
      <c r="CR150" s="2"/>
      <c r="CS150" s="2"/>
      <c r="CT150" s="2"/>
      <c r="CU150" s="2"/>
      <c r="CV150" s="2"/>
      <c r="CW150" s="2"/>
      <c r="CX150" s="2"/>
      <c r="CY150" s="2"/>
      <c r="CZ150" s="2">
        <v>15</v>
      </c>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c r="EV150" s="2"/>
      <c r="EW150" s="2"/>
    </row>
    <row r="151" spans="1:153" x14ac:dyDescent="0.25">
      <c r="A151" s="1" t="s">
        <v>758</v>
      </c>
      <c r="B151" s="1" t="s">
        <v>53</v>
      </c>
      <c r="C151" s="2" t="s">
        <v>736</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v>30</v>
      </c>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v>30</v>
      </c>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v>6</v>
      </c>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c r="EV151" s="2"/>
      <c r="EW151" s="2"/>
    </row>
    <row r="152" spans="1:153" x14ac:dyDescent="0.25">
      <c r="A152" s="1" t="s">
        <v>761</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v>60</v>
      </c>
      <c r="BJ152" s="2"/>
      <c r="BK152" s="2"/>
      <c r="BL152" s="2"/>
      <c r="BM152" s="2"/>
      <c r="BN152" s="2"/>
      <c r="BO152" s="2"/>
      <c r="BP152" s="2"/>
      <c r="BQ152" s="2"/>
      <c r="BR152" s="2"/>
      <c r="BS152" s="2"/>
      <c r="BT152" s="2"/>
      <c r="BU152" s="2"/>
      <c r="BV152" s="2"/>
      <c r="BW152" s="2"/>
      <c r="BX152" s="2"/>
      <c r="BY152" s="2"/>
      <c r="BZ152" s="2">
        <v>30</v>
      </c>
      <c r="CA152" s="2"/>
      <c r="CB152" s="2"/>
      <c r="CC152" s="2"/>
      <c r="CD152" s="2"/>
      <c r="CE152" s="2"/>
      <c r="CF152" s="2"/>
      <c r="CG152" s="2">
        <v>30</v>
      </c>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2"/>
      <c r="DH152" s="2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c r="EV152" s="2"/>
      <c r="EW152" s="2"/>
    </row>
    <row r="153" spans="1:153" x14ac:dyDescent="0.25">
      <c r="A153" s="1" t="s">
        <v>765</v>
      </c>
      <c r="B153" s="1" t="s">
        <v>53</v>
      </c>
      <c r="C153" s="2" t="s">
        <v>736</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v>30</v>
      </c>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v>30</v>
      </c>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v>12</v>
      </c>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c r="EV153" s="2"/>
      <c r="EW153" s="2"/>
    </row>
    <row r="154" spans="1:153" x14ac:dyDescent="0.25">
      <c r="A154" s="1" t="s">
        <v>775</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v>135</v>
      </c>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c r="EV154" s="2"/>
      <c r="EW154" s="2"/>
    </row>
    <row r="155" spans="1:153" x14ac:dyDescent="0.25">
      <c r="A155" s="1" t="s">
        <v>801</v>
      </c>
      <c r="B155" s="1" t="s">
        <v>54</v>
      </c>
      <c r="C155" s="3" t="s">
        <v>68</v>
      </c>
      <c r="D155" s="2">
        <v>200</v>
      </c>
      <c r="E155" s="2"/>
      <c r="F155" s="2" t="s">
        <v>60</v>
      </c>
      <c r="G155" s="2"/>
      <c r="H155" s="2">
        <f t="shared" si="4"/>
        <v>150</v>
      </c>
      <c r="I155" s="2"/>
      <c r="J155" s="2"/>
      <c r="K155" s="2"/>
      <c r="L155" s="2"/>
      <c r="M155" s="2"/>
      <c r="N155" s="2"/>
      <c r="O155" s="2"/>
      <c r="P155" s="2"/>
      <c r="Q155" s="2">
        <v>60</v>
      </c>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v>60</v>
      </c>
      <c r="CC155" s="2"/>
      <c r="CD155" s="2"/>
      <c r="CE155" s="2"/>
      <c r="CF155" s="2"/>
      <c r="CG155" s="2">
        <v>30</v>
      </c>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c r="EU155" s="2">
        <v>1</v>
      </c>
      <c r="EV155" s="2"/>
      <c r="EW155" s="2"/>
    </row>
    <row r="156" spans="1:153" x14ac:dyDescent="0.25">
      <c r="A156" s="1" t="s">
        <v>805</v>
      </c>
      <c r="B156" s="1" t="s">
        <v>53</v>
      </c>
      <c r="C156" s="2" t="s">
        <v>62</v>
      </c>
      <c r="D156" s="2">
        <v>300</v>
      </c>
      <c r="E156" s="2"/>
      <c r="F156" s="2" t="s">
        <v>60</v>
      </c>
      <c r="G156" s="2"/>
      <c r="H156" s="2">
        <f t="shared" si="4"/>
        <v>135</v>
      </c>
      <c r="I156" s="2"/>
      <c r="J156" s="2"/>
      <c r="K156" s="2"/>
      <c r="L156" s="2"/>
      <c r="M156" s="2"/>
      <c r="N156" s="2"/>
      <c r="O156" s="2"/>
      <c r="P156" s="2"/>
      <c r="Q156" s="2"/>
      <c r="R156" s="2">
        <v>60</v>
      </c>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v>30</v>
      </c>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v>30</v>
      </c>
      <c r="CI156" s="2"/>
      <c r="CJ156" s="2"/>
      <c r="CK156" s="2"/>
      <c r="CL156" s="2"/>
      <c r="CM156" s="2"/>
      <c r="CN156" s="2"/>
      <c r="CO156" s="2"/>
      <c r="CP156" s="2"/>
      <c r="CQ156" s="2"/>
      <c r="CR156" s="2"/>
      <c r="CS156" s="2"/>
      <c r="CT156" s="2"/>
      <c r="CU156" s="2"/>
      <c r="CV156" s="2"/>
      <c r="CW156" s="2"/>
      <c r="CX156" s="2"/>
      <c r="CY156" s="2"/>
      <c r="CZ156" s="2">
        <v>15</v>
      </c>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v>1</v>
      </c>
      <c r="EK156" s="2"/>
      <c r="EL156" s="2"/>
      <c r="EM156" s="2"/>
      <c r="EN156" s="2"/>
      <c r="EO156" s="2"/>
      <c r="EP156" s="2"/>
      <c r="EQ156" s="2"/>
      <c r="ER156" s="2"/>
      <c r="ES156" s="2"/>
      <c r="ET156" s="2"/>
      <c r="EU156" s="2"/>
      <c r="EV156" s="2"/>
      <c r="EW156" s="2"/>
    </row>
    <row r="157" spans="1:153" x14ac:dyDescent="0.25">
      <c r="A157" s="1" t="s">
        <v>809</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c r="X157" s="2">
        <v>750</v>
      </c>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v>8</v>
      </c>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v>1</v>
      </c>
      <c r="ER157" s="2"/>
      <c r="ES157" s="2"/>
      <c r="ET157" s="2"/>
      <c r="EU157" s="2"/>
      <c r="EV157" s="2"/>
      <c r="EW157" s="2"/>
    </row>
    <row r="158" spans="1:153" x14ac:dyDescent="0.25">
      <c r="A158" s="1" t="s">
        <v>815</v>
      </c>
      <c r="B158" s="1" t="s">
        <v>278</v>
      </c>
      <c r="C158" s="2" t="s">
        <v>812</v>
      </c>
      <c r="D158" s="2">
        <v>1500</v>
      </c>
      <c r="E158" s="2"/>
      <c r="F158" s="2" t="s">
        <v>60</v>
      </c>
      <c r="G158" s="2"/>
      <c r="H158" s="2">
        <f t="shared" si="4"/>
        <v>1000</v>
      </c>
      <c r="I158" s="2"/>
      <c r="J158" s="2"/>
      <c r="K158" s="2"/>
      <c r="L158" s="2"/>
      <c r="M158" s="2"/>
      <c r="N158" s="2"/>
      <c r="O158" s="2"/>
      <c r="P158" s="2"/>
      <c r="Q158" s="2"/>
      <c r="R158" s="2"/>
      <c r="S158" s="2"/>
      <c r="T158" s="2"/>
      <c r="U158" s="2"/>
      <c r="V158" s="2"/>
      <c r="W158" s="2"/>
      <c r="X158" s="2">
        <v>1000</v>
      </c>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v>150</v>
      </c>
      <c r="DH158" s="2"/>
      <c r="DI158" s="2"/>
      <c r="DJ158" s="2"/>
      <c r="DK158" s="2"/>
      <c r="DL158" s="2"/>
      <c r="DM158" s="2"/>
      <c r="DN158" s="2"/>
      <c r="DO158" s="2"/>
      <c r="DP158" s="2">
        <v>1</v>
      </c>
      <c r="DQ158" s="2"/>
      <c r="DR158" s="2"/>
      <c r="DS158" s="2"/>
      <c r="DT158" s="2"/>
      <c r="DU158" s="2"/>
      <c r="DV158" s="2"/>
      <c r="DW158" s="2"/>
      <c r="DX158" s="2">
        <v>2</v>
      </c>
      <c r="DY158" s="2">
        <v>3</v>
      </c>
      <c r="DZ158" s="2"/>
      <c r="EA158" s="2"/>
      <c r="EB158" s="2"/>
      <c r="EC158" s="2"/>
      <c r="ED158" s="2"/>
      <c r="EE158" s="2"/>
      <c r="EF158" s="2"/>
      <c r="EG158" s="2"/>
      <c r="EH158" s="2"/>
      <c r="EI158" s="2"/>
      <c r="EJ158" s="2"/>
      <c r="EK158" s="2"/>
      <c r="EL158" s="2"/>
      <c r="EM158" s="2"/>
      <c r="EN158" s="2"/>
      <c r="EO158" s="2"/>
      <c r="EP158" s="2"/>
      <c r="EQ158" s="2"/>
      <c r="ER158" s="2"/>
      <c r="ES158" s="2"/>
      <c r="ET158" s="2"/>
      <c r="EU158" s="2"/>
      <c r="EV158" s="2">
        <v>1</v>
      </c>
      <c r="EW158" s="2"/>
    </row>
    <row r="159" spans="1:153" x14ac:dyDescent="0.25">
      <c r="A159" s="1" t="s">
        <v>821</v>
      </c>
      <c r="B159" s="1" t="s">
        <v>278</v>
      </c>
      <c r="C159" s="2" t="s">
        <v>812</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v>1000</v>
      </c>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v>15</v>
      </c>
      <c r="DD159" s="2"/>
      <c r="DE159" s="2"/>
      <c r="DF159" s="2"/>
      <c r="DG159" s="2">
        <v>100</v>
      </c>
      <c r="DH159" s="2">
        <v>200</v>
      </c>
      <c r="DI159" s="2"/>
      <c r="DJ159" s="2"/>
      <c r="DK159" s="2"/>
      <c r="DL159" s="2"/>
      <c r="DM159" s="2"/>
      <c r="DN159" s="2"/>
      <c r="DO159" s="2"/>
      <c r="DP159" s="2"/>
      <c r="DQ159" s="2">
        <v>1</v>
      </c>
      <c r="DR159" s="2"/>
      <c r="DS159" s="2"/>
      <c r="DT159" s="2"/>
      <c r="DU159" s="2"/>
      <c r="DV159" s="2"/>
      <c r="DW159" s="2"/>
      <c r="DX159" s="2">
        <v>1</v>
      </c>
      <c r="DY159" s="2">
        <v>1</v>
      </c>
      <c r="DZ159" s="2"/>
      <c r="EA159" s="2"/>
      <c r="EB159" s="2"/>
      <c r="EC159" s="2">
        <v>2</v>
      </c>
      <c r="ED159" s="2"/>
      <c r="EE159" s="2"/>
      <c r="EF159" s="2"/>
      <c r="EG159" s="2"/>
      <c r="EH159" s="2"/>
      <c r="EI159" s="2"/>
      <c r="EJ159" s="2"/>
      <c r="EK159" s="2"/>
      <c r="EL159" s="2"/>
      <c r="EM159" s="2"/>
      <c r="EN159" s="2"/>
      <c r="EO159" s="2"/>
      <c r="EP159" s="2"/>
      <c r="EQ159" s="2"/>
      <c r="ER159" s="2"/>
      <c r="ES159" s="2"/>
      <c r="ET159" s="2"/>
      <c r="EU159" s="2"/>
      <c r="EV159" s="2">
        <v>1</v>
      </c>
      <c r="EW159" s="2">
        <v>1</v>
      </c>
    </row>
    <row r="160" spans="1:153" x14ac:dyDescent="0.25">
      <c r="A160" s="1" t="s">
        <v>829</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c r="AA160" s="2">
        <v>150</v>
      </c>
      <c r="AB160" s="2">
        <v>150</v>
      </c>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c r="EV160" s="2"/>
      <c r="EW160" s="2"/>
    </row>
    <row r="161" spans="1:153" x14ac:dyDescent="0.25">
      <c r="A161" s="1" t="s">
        <v>838</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v>30</v>
      </c>
      <c r="BF161" s="2"/>
      <c r="BG161" s="2"/>
      <c r="BH161" s="2"/>
      <c r="BI161" s="2"/>
      <c r="BJ161" s="2"/>
      <c r="BK161" s="2"/>
      <c r="BL161" s="2"/>
      <c r="BM161" s="2"/>
      <c r="BN161" s="2"/>
      <c r="BO161" s="2"/>
      <c r="BP161" s="2"/>
      <c r="BQ161" s="2"/>
      <c r="BR161" s="2"/>
      <c r="BS161" s="2"/>
      <c r="BT161" s="2"/>
      <c r="BU161" s="2"/>
      <c r="BV161" s="2"/>
      <c r="BW161" s="2"/>
      <c r="BX161" s="2"/>
      <c r="BY161" s="2"/>
      <c r="BZ161" s="2">
        <v>60</v>
      </c>
      <c r="CA161" s="2"/>
      <c r="CB161" s="2"/>
      <c r="CC161" s="2"/>
      <c r="CD161" s="2"/>
      <c r="CE161" s="2"/>
      <c r="CF161" s="2"/>
      <c r="CG161" s="2"/>
      <c r="CH161" s="2">
        <v>30</v>
      </c>
      <c r="CI161" s="2"/>
      <c r="CJ161" s="2"/>
      <c r="CK161" s="2"/>
      <c r="CL161" s="2"/>
      <c r="CM161" s="2"/>
      <c r="CN161" s="2"/>
      <c r="CO161" s="2"/>
      <c r="CP161" s="2"/>
      <c r="CQ161" s="2"/>
      <c r="CR161" s="2"/>
      <c r="CS161" s="2"/>
      <c r="CT161" s="2"/>
      <c r="CU161" s="2"/>
      <c r="CV161" s="2"/>
      <c r="CW161" s="2"/>
      <c r="CX161" s="2"/>
      <c r="CY161" s="2"/>
      <c r="CZ161" s="2">
        <v>30</v>
      </c>
      <c r="DA161" s="2"/>
      <c r="DB161" s="2">
        <v>30</v>
      </c>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v>3</v>
      </c>
      <c r="EN161" s="2">
        <v>2</v>
      </c>
      <c r="EO161" s="2"/>
      <c r="EP161" s="2"/>
      <c r="EQ161" s="2"/>
      <c r="ER161" s="2"/>
      <c r="ES161" s="2"/>
      <c r="ET161" s="2"/>
      <c r="EU161" s="2"/>
      <c r="EV161" s="2"/>
      <c r="EW161" s="2"/>
    </row>
    <row r="162" spans="1:153" x14ac:dyDescent="0.25">
      <c r="A162" s="1" t="s">
        <v>840</v>
      </c>
      <c r="B162" s="1" t="s">
        <v>51</v>
      </c>
      <c r="C162" s="2" t="s">
        <v>62</v>
      </c>
      <c r="D162" s="2">
        <v>300</v>
      </c>
      <c r="E162" s="2"/>
      <c r="F162" s="2" t="s">
        <v>60</v>
      </c>
      <c r="G162" s="2"/>
      <c r="H162" s="2">
        <f t="shared" ref="H162" si="5">SUM(I162:DF162)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v>30</v>
      </c>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v>10</v>
      </c>
      <c r="CI162" s="2"/>
      <c r="CJ162" s="2"/>
      <c r="CK162" s="2"/>
      <c r="CL162" s="2"/>
      <c r="CM162" s="2"/>
      <c r="CN162" s="2"/>
      <c r="CO162" s="2"/>
      <c r="CP162" s="2"/>
      <c r="CQ162" s="2"/>
      <c r="CR162" s="2"/>
      <c r="CS162" s="2"/>
      <c r="CT162" s="2"/>
      <c r="CU162" s="2"/>
      <c r="CV162" s="2"/>
      <c r="CW162" s="2"/>
      <c r="CX162" s="2"/>
      <c r="CY162" s="2"/>
      <c r="CZ162" s="2"/>
      <c r="DA162" s="2"/>
      <c r="DB162" s="2">
        <v>30</v>
      </c>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c r="EV162" s="2"/>
      <c r="EW162" s="2"/>
    </row>
    <row r="163" spans="1:153" x14ac:dyDescent="0.25">
      <c r="A163" s="1" t="s">
        <v>856</v>
      </c>
      <c r="B163" s="1" t="s">
        <v>51</v>
      </c>
      <c r="C163" s="2" t="s">
        <v>63</v>
      </c>
      <c r="D163" s="2">
        <v>300</v>
      </c>
      <c r="E163" s="2">
        <v>120</v>
      </c>
      <c r="F163" s="2" t="s">
        <v>59</v>
      </c>
      <c r="G163" s="2">
        <v>180</v>
      </c>
      <c r="H163" s="2">
        <f t="shared" ref="H163:H170" si="6">SUM(I163:DF163)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v>30</v>
      </c>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v>30</v>
      </c>
      <c r="CR163" s="2"/>
      <c r="CS163" s="2">
        <v>60</v>
      </c>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c r="EV163" s="2"/>
      <c r="EW163" s="2"/>
    </row>
    <row r="164" spans="1:153" x14ac:dyDescent="0.25">
      <c r="A164" s="1" t="s">
        <v>861</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v>30</v>
      </c>
      <c r="AT164" s="2"/>
      <c r="AU164" s="2"/>
      <c r="AV164" s="2">
        <v>30</v>
      </c>
      <c r="AW164" s="2"/>
      <c r="AX164" s="2"/>
      <c r="AY164" s="2"/>
      <c r="AZ164" s="2">
        <v>30</v>
      </c>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c r="EV164" s="2"/>
      <c r="EW164" s="2"/>
    </row>
    <row r="165" spans="1:153" x14ac:dyDescent="0.25">
      <c r="A165" s="1" t="s">
        <v>872</v>
      </c>
      <c r="B165" s="1" t="s">
        <v>51</v>
      </c>
      <c r="C165" s="2" t="s">
        <v>63</v>
      </c>
      <c r="D165" s="2">
        <v>300</v>
      </c>
      <c r="E165" s="2"/>
      <c r="F165" s="2" t="s">
        <v>60</v>
      </c>
      <c r="G165" s="2"/>
      <c r="H165" s="2">
        <f t="shared" si="6"/>
        <v>135</v>
      </c>
      <c r="I165" s="1"/>
      <c r="J165" s="1"/>
      <c r="K165" s="1"/>
      <c r="L165" s="1"/>
      <c r="M165" s="1"/>
      <c r="N165" s="1"/>
      <c r="O165" s="1"/>
      <c r="P165" s="1"/>
      <c r="Q165" s="1"/>
      <c r="R165" s="1"/>
      <c r="S165" s="1"/>
      <c r="T165" s="1"/>
      <c r="U165" s="1">
        <v>15</v>
      </c>
      <c r="V165" s="1"/>
      <c r="W165" s="1"/>
      <c r="X165" s="1"/>
      <c r="Y165" s="1"/>
      <c r="Z165" s="1"/>
      <c r="AA165" s="1"/>
      <c r="AB165" s="1">
        <v>120</v>
      </c>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2"/>
      <c r="CE165" s="2"/>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2"/>
      <c r="DJ165" s="2"/>
      <c r="DK165" s="2"/>
      <c r="DL165" s="2"/>
      <c r="DM165" s="2"/>
      <c r="DN165" s="2"/>
      <c r="DO165" s="2"/>
      <c r="DP165" s="2"/>
      <c r="DQ165" s="2"/>
      <c r="DR165" s="2"/>
      <c r="DS165" s="2"/>
      <c r="DT165" s="2"/>
      <c r="DU165" s="2"/>
      <c r="DV165" s="2"/>
      <c r="DW165" s="2"/>
      <c r="DX165" s="2"/>
      <c r="DY165" s="2"/>
      <c r="DZ165" s="2"/>
      <c r="EA165" s="2"/>
      <c r="EB165" s="2">
        <v>1</v>
      </c>
      <c r="EC165" s="2"/>
      <c r="ED165" s="2"/>
      <c r="EE165" s="2"/>
      <c r="EF165" s="2"/>
      <c r="EG165" s="2"/>
      <c r="EH165" s="2"/>
      <c r="EI165" s="2">
        <v>2</v>
      </c>
      <c r="EJ165" s="1"/>
      <c r="EK165" s="1"/>
      <c r="EL165" s="1"/>
      <c r="EM165" s="1"/>
      <c r="EN165" s="1"/>
      <c r="EO165" s="1"/>
      <c r="EP165" s="1"/>
      <c r="EQ165" s="1"/>
      <c r="ER165" s="1"/>
      <c r="ES165" s="1"/>
      <c r="ET165" s="1"/>
      <c r="EU165" s="2"/>
      <c r="EV165" s="2"/>
      <c r="EW165" s="2"/>
    </row>
    <row r="166" spans="1:153" x14ac:dyDescent="0.25">
      <c r="A166" s="1" t="s">
        <v>882</v>
      </c>
      <c r="B166" s="1" t="s">
        <v>50</v>
      </c>
      <c r="C166" s="2" t="s">
        <v>63</v>
      </c>
      <c r="D166" s="2">
        <v>400</v>
      </c>
      <c r="E166" s="2">
        <v>160</v>
      </c>
      <c r="F166" s="2" t="s">
        <v>59</v>
      </c>
      <c r="G166" s="2">
        <v>240</v>
      </c>
      <c r="H166" s="2">
        <f t="shared" si="6"/>
        <v>165</v>
      </c>
      <c r="I166" s="2"/>
      <c r="J166" s="2"/>
      <c r="K166" s="2"/>
      <c r="L166" s="2"/>
      <c r="M166" s="2"/>
      <c r="N166" s="2"/>
      <c r="O166" s="2"/>
      <c r="P166" s="2"/>
      <c r="Q166" s="2">
        <v>45</v>
      </c>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v>15</v>
      </c>
      <c r="BF166" s="2"/>
      <c r="BG166" s="2"/>
      <c r="BH166" s="2"/>
      <c r="BI166" s="2"/>
      <c r="BJ166" s="2"/>
      <c r="BK166" s="2"/>
      <c r="BL166" s="2"/>
      <c r="BM166" s="2"/>
      <c r="BN166" s="2"/>
      <c r="BO166" s="2"/>
      <c r="BP166" s="2"/>
      <c r="BQ166" s="2"/>
      <c r="BR166" s="2"/>
      <c r="BS166" s="2"/>
      <c r="BT166" s="2"/>
      <c r="BU166" s="2"/>
      <c r="BV166" s="2"/>
      <c r="BW166" s="2">
        <v>60</v>
      </c>
      <c r="BX166" s="2"/>
      <c r="BY166" s="2"/>
      <c r="BZ166" s="2"/>
      <c r="CA166" s="2"/>
      <c r="CB166" s="2"/>
      <c r="CC166" s="2"/>
      <c r="CD166" s="2"/>
      <c r="CE166" s="2"/>
      <c r="CF166" s="2"/>
      <c r="CG166" s="2"/>
      <c r="CH166" s="2"/>
      <c r="CI166" s="2"/>
      <c r="CJ166" s="2"/>
      <c r="CK166" s="2">
        <v>15</v>
      </c>
      <c r="CL166" s="2"/>
      <c r="CM166" s="2"/>
      <c r="CN166" s="2"/>
      <c r="CO166" s="2"/>
      <c r="CP166" s="2"/>
      <c r="CQ166" s="2"/>
      <c r="CR166" s="2"/>
      <c r="CS166" s="2"/>
      <c r="CT166" s="2"/>
      <c r="CU166" s="2"/>
      <c r="CV166" s="2"/>
      <c r="CW166" s="2"/>
      <c r="CX166" s="2"/>
      <c r="CY166" s="2"/>
      <c r="CZ166" s="2"/>
      <c r="DA166" s="2"/>
      <c r="DB166" s="2">
        <v>30</v>
      </c>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c r="EV166" s="2"/>
      <c r="EW166" s="2"/>
    </row>
    <row r="167" spans="1:153" x14ac:dyDescent="0.25">
      <c r="A167" s="1" t="s">
        <v>899</v>
      </c>
      <c r="B167" s="1" t="s">
        <v>53</v>
      </c>
      <c r="C167" s="3" t="s">
        <v>67</v>
      </c>
      <c r="D167" s="2">
        <v>300</v>
      </c>
      <c r="E167" s="2">
        <v>120</v>
      </c>
      <c r="F167" s="2" t="s">
        <v>59</v>
      </c>
      <c r="G167" s="2">
        <v>180</v>
      </c>
      <c r="H167" s="2">
        <f t="shared" si="6"/>
        <v>90</v>
      </c>
      <c r="I167" s="2"/>
      <c r="J167" s="2"/>
      <c r="K167" s="2"/>
      <c r="L167" s="2"/>
      <c r="M167" s="2">
        <v>30</v>
      </c>
      <c r="N167" s="2"/>
      <c r="O167" s="2"/>
      <c r="P167" s="2"/>
      <c r="Q167" s="2"/>
      <c r="R167" s="2"/>
      <c r="S167" s="2"/>
      <c r="T167" s="2"/>
      <c r="U167" s="2"/>
      <c r="V167" s="2"/>
      <c r="W167" s="2"/>
      <c r="X167" s="2"/>
      <c r="Y167" s="2"/>
      <c r="Z167" s="2"/>
      <c r="AA167" s="2"/>
      <c r="AB167" s="2"/>
      <c r="AC167" s="2"/>
      <c r="AD167" s="2"/>
      <c r="AE167" s="2"/>
      <c r="AF167" s="2">
        <v>30</v>
      </c>
      <c r="AG167" s="2"/>
      <c r="AH167" s="2"/>
      <c r="AI167" s="2"/>
      <c r="AJ167" s="2"/>
      <c r="AK167" s="2">
        <v>30</v>
      </c>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c r="EV167" s="2"/>
      <c r="EW167" s="2"/>
    </row>
    <row r="168" spans="1:153" x14ac:dyDescent="0.25">
      <c r="A168" s="1" t="s">
        <v>896</v>
      </c>
      <c r="B168" s="1" t="s">
        <v>55</v>
      </c>
      <c r="C168" s="3" t="s">
        <v>67</v>
      </c>
      <c r="D168" s="2">
        <v>200</v>
      </c>
      <c r="E168" s="2"/>
      <c r="F168" s="2" t="s">
        <v>60</v>
      </c>
      <c r="G168" s="2"/>
      <c r="H168" s="2">
        <f t="shared" si="6"/>
        <v>90</v>
      </c>
      <c r="I168" s="2"/>
      <c r="J168" s="2"/>
      <c r="K168" s="2"/>
      <c r="L168" s="2"/>
      <c r="M168" s="2"/>
      <c r="N168" s="2"/>
      <c r="O168" s="2">
        <v>30</v>
      </c>
      <c r="P168" s="2"/>
      <c r="Q168" s="2"/>
      <c r="R168" s="2"/>
      <c r="S168" s="2"/>
      <c r="T168" s="2"/>
      <c r="U168" s="2"/>
      <c r="V168" s="2"/>
      <c r="W168" s="2"/>
      <c r="X168" s="2"/>
      <c r="Y168" s="2"/>
      <c r="Z168" s="2"/>
      <c r="AA168" s="2"/>
      <c r="AB168" s="2"/>
      <c r="AC168" s="2"/>
      <c r="AD168" s="2"/>
      <c r="AE168" s="2"/>
      <c r="AF168" s="2"/>
      <c r="AG168" s="2">
        <v>30</v>
      </c>
      <c r="AH168" s="2"/>
      <c r="AI168" s="2"/>
      <c r="AJ168" s="2"/>
      <c r="AK168" s="2">
        <v>30</v>
      </c>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c r="EV168" s="2"/>
      <c r="EW168" s="2"/>
    </row>
    <row r="169" spans="1:153" x14ac:dyDescent="0.25">
      <c r="A169" s="1" t="s">
        <v>900</v>
      </c>
      <c r="B169" s="1" t="s">
        <v>55</v>
      </c>
      <c r="C169" s="2" t="s">
        <v>62</v>
      </c>
      <c r="D169" s="2">
        <v>200</v>
      </c>
      <c r="E169" s="2"/>
      <c r="F169" s="2" t="s">
        <v>60</v>
      </c>
      <c r="G169" s="2"/>
      <c r="H169" s="2">
        <f t="shared" si="6"/>
        <v>165</v>
      </c>
      <c r="I169" s="2"/>
      <c r="J169" s="2"/>
      <c r="K169" s="2"/>
      <c r="L169" s="2"/>
      <c r="M169" s="2"/>
      <c r="N169" s="2"/>
      <c r="O169" s="2"/>
      <c r="P169" s="2"/>
      <c r="Q169" s="2"/>
      <c r="R169" s="2"/>
      <c r="S169" s="2"/>
      <c r="T169" s="2"/>
      <c r="U169" s="2"/>
      <c r="V169" s="2"/>
      <c r="W169" s="2"/>
      <c r="X169" s="2"/>
      <c r="Y169" s="2">
        <v>90</v>
      </c>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v>30</v>
      </c>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v>30</v>
      </c>
      <c r="CI169" s="2"/>
      <c r="CJ169" s="2"/>
      <c r="CK169" s="2"/>
      <c r="CL169" s="2"/>
      <c r="CM169" s="2"/>
      <c r="CN169" s="2"/>
      <c r="CO169" s="2"/>
      <c r="CP169" s="2"/>
      <c r="CQ169" s="2"/>
      <c r="CR169" s="2"/>
      <c r="CS169" s="2"/>
      <c r="CT169" s="2"/>
      <c r="CU169" s="2"/>
      <c r="CV169" s="2"/>
      <c r="CW169" s="2"/>
      <c r="CX169" s="2"/>
      <c r="CY169" s="2"/>
      <c r="CZ169" s="2">
        <v>15</v>
      </c>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v>1</v>
      </c>
      <c r="EK169" s="2"/>
      <c r="EL169" s="2"/>
      <c r="EM169" s="2"/>
      <c r="EN169" s="2"/>
      <c r="EO169" s="2"/>
      <c r="EP169" s="2"/>
      <c r="EQ169" s="2"/>
      <c r="ER169" s="2"/>
      <c r="ES169" s="2"/>
      <c r="ET169" s="2"/>
      <c r="EU169" s="2"/>
      <c r="EV169" s="2"/>
      <c r="EW169" s="2"/>
    </row>
    <row r="170" spans="1:153" x14ac:dyDescent="0.25">
      <c r="A170" s="1" t="s">
        <v>901</v>
      </c>
      <c r="B170" s="1" t="s">
        <v>53</v>
      </c>
      <c r="C170" s="2" t="s">
        <v>62</v>
      </c>
      <c r="D170" s="2">
        <v>300</v>
      </c>
      <c r="E170" s="2"/>
      <c r="F170" s="2" t="s">
        <v>60</v>
      </c>
      <c r="G170" s="2"/>
      <c r="H170" s="2">
        <f t="shared" si="6"/>
        <v>165</v>
      </c>
      <c r="I170" s="2"/>
      <c r="J170" s="2"/>
      <c r="K170" s="2"/>
      <c r="L170" s="2"/>
      <c r="M170" s="2"/>
      <c r="N170" s="2"/>
      <c r="O170" s="2"/>
      <c r="P170" s="2"/>
      <c r="Q170" s="2"/>
      <c r="R170" s="2"/>
      <c r="S170" s="2"/>
      <c r="T170" s="2"/>
      <c r="U170" s="2"/>
      <c r="V170" s="2"/>
      <c r="W170" s="2"/>
      <c r="X170" s="2">
        <v>90</v>
      </c>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v>30</v>
      </c>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v>30</v>
      </c>
      <c r="CI170" s="2"/>
      <c r="CJ170" s="2"/>
      <c r="CK170" s="2"/>
      <c r="CL170" s="2"/>
      <c r="CM170" s="2"/>
      <c r="CN170" s="2"/>
      <c r="CO170" s="2"/>
      <c r="CP170" s="2"/>
      <c r="CQ170" s="2"/>
      <c r="CR170" s="2"/>
      <c r="CS170" s="2"/>
      <c r="CT170" s="2"/>
      <c r="CU170" s="2"/>
      <c r="CV170" s="2"/>
      <c r="CW170" s="2"/>
      <c r="CX170" s="2"/>
      <c r="CY170" s="2"/>
      <c r="CZ170" s="2">
        <v>15</v>
      </c>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c r="EV170" s="2"/>
      <c r="EW170" s="2"/>
    </row>
    <row r="171" spans="1:153" x14ac:dyDescent="0.25">
      <c r="A171" s="1" t="s">
        <v>908</v>
      </c>
      <c r="B171" s="1" t="s">
        <v>55</v>
      </c>
      <c r="C171" s="2" t="s">
        <v>62</v>
      </c>
      <c r="D171" s="2">
        <v>300</v>
      </c>
      <c r="E171" s="2"/>
      <c r="F171" s="2" t="s">
        <v>60</v>
      </c>
      <c r="G171" s="2"/>
      <c r="H171" s="2">
        <f t="shared" ref="H171" si="7">SUM(I171:DF171)</f>
        <v>135</v>
      </c>
      <c r="I171" s="2"/>
      <c r="J171" s="2"/>
      <c r="K171" s="2"/>
      <c r="L171" s="2"/>
      <c r="M171" s="2"/>
      <c r="N171" s="2"/>
      <c r="O171" s="2"/>
      <c r="P171" s="2"/>
      <c r="Q171" s="2"/>
      <c r="R171" s="2"/>
      <c r="S171" s="2"/>
      <c r="T171" s="2"/>
      <c r="U171" s="2"/>
      <c r="V171" s="2"/>
      <c r="W171" s="2"/>
      <c r="X171" s="2"/>
      <c r="Y171" s="2"/>
      <c r="Z171" s="2"/>
      <c r="AA171" s="2"/>
      <c r="AB171" s="2"/>
      <c r="AC171" s="2"/>
      <c r="AD171" s="2">
        <v>60</v>
      </c>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v>30</v>
      </c>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v>30</v>
      </c>
      <c r="CI171" s="2"/>
      <c r="CJ171" s="2"/>
      <c r="CK171" s="2"/>
      <c r="CL171" s="2"/>
      <c r="CM171" s="2"/>
      <c r="CN171" s="2"/>
      <c r="CO171" s="2"/>
      <c r="CP171" s="2"/>
      <c r="CQ171" s="2"/>
      <c r="CR171" s="2"/>
      <c r="CS171" s="2"/>
      <c r="CT171" s="2"/>
      <c r="CU171" s="2"/>
      <c r="CV171" s="2"/>
      <c r="CW171" s="2"/>
      <c r="CX171" s="2"/>
      <c r="CY171" s="2"/>
      <c r="CZ171" s="2">
        <v>15</v>
      </c>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c r="EV171" s="2"/>
      <c r="EW171" s="2"/>
    </row>
    <row r="172" spans="1:153"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c r="EV172" s="2"/>
      <c r="EW172" s="2"/>
    </row>
    <row r="173" spans="1:153"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c r="EV173" s="2"/>
      <c r="EW173" s="2"/>
    </row>
    <row r="174" spans="1:153"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c r="EV174" s="2"/>
      <c r="EW174" s="2"/>
    </row>
    <row r="175" spans="1:153"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c r="EV175" s="2"/>
      <c r="EW175" s="2"/>
    </row>
    <row r="176" spans="1:153"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c r="EV176" s="2"/>
      <c r="EW176" s="2"/>
    </row>
    <row r="177" spans="1:153"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c r="EV177" s="2"/>
      <c r="EW177" s="2"/>
    </row>
    <row r="178" spans="1:153"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c r="EV178" s="2"/>
      <c r="EW178" s="2"/>
    </row>
    <row r="179" spans="1:153"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c r="EV179" s="2"/>
      <c r="EW179" s="2"/>
    </row>
    <row r="180" spans="1:153"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c r="EV180" s="2"/>
      <c r="EW180" s="2"/>
    </row>
    <row r="181" spans="1:153"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c r="EV181" s="2"/>
      <c r="EW181" s="2"/>
    </row>
    <row r="182" spans="1:153"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c r="EV182" s="2"/>
      <c r="EW182" s="2"/>
    </row>
    <row r="183" spans="1:153"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c r="EV183" s="2"/>
      <c r="EW183" s="2"/>
    </row>
    <row r="184" spans="1:153"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c r="EV184" s="2"/>
      <c r="EW184" s="2"/>
    </row>
    <row r="185" spans="1:153"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c r="EV185" s="2"/>
      <c r="EW185" s="2"/>
    </row>
    <row r="186" spans="1:153"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c r="EV186" s="2"/>
      <c r="EW186" s="2"/>
    </row>
    <row r="187" spans="1:153"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c r="EV187" s="2"/>
      <c r="EW187" s="2"/>
    </row>
    <row r="188" spans="1:153"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c r="EV188" s="2"/>
      <c r="EW188" s="2"/>
    </row>
    <row r="189" spans="1:153"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c r="EV189" s="2"/>
      <c r="EW189" s="2"/>
    </row>
    <row r="190" spans="1:153"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c r="EV190" s="2"/>
      <c r="EW190" s="2"/>
    </row>
    <row r="191" spans="1:153"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c r="EV191" s="2"/>
      <c r="EW191" s="2"/>
    </row>
    <row r="192" spans="1:153"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c r="EV192" s="2"/>
      <c r="EW192" s="2"/>
    </row>
    <row r="193" spans="1:153"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c r="EV193" s="2"/>
      <c r="EW193" s="2"/>
    </row>
    <row r="194" spans="1:153"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c r="EV194" s="2"/>
      <c r="EW194" s="2"/>
    </row>
    <row r="195" spans="1:153"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c r="EV195" s="2"/>
      <c r="EW195" s="2"/>
    </row>
    <row r="196" spans="1:153"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c r="EV196" s="2"/>
      <c r="EW196" s="2"/>
    </row>
    <row r="197" spans="1:153"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c r="EV197" s="2"/>
      <c r="EW197" s="2"/>
    </row>
    <row r="198" spans="1:153"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c r="EV198" s="2"/>
      <c r="EW198" s="2"/>
    </row>
    <row r="199" spans="1:153"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c r="EV199" s="2"/>
      <c r="EW199" s="2"/>
    </row>
    <row r="200" spans="1:153"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c r="EV200" s="2"/>
      <c r="EW200" s="2"/>
    </row>
    <row r="201" spans="1:153"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c r="EV201" s="2"/>
      <c r="EW201" s="2"/>
    </row>
    <row r="202" spans="1:153"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c r="EV202" s="2"/>
      <c r="EW202" s="2"/>
    </row>
    <row r="203" spans="1:153"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c r="EV203" s="2"/>
      <c r="EW203" s="2"/>
    </row>
    <row r="204" spans="1:153"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c r="EV204" s="2"/>
      <c r="EW204" s="2"/>
    </row>
    <row r="205" spans="1:153"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c r="EV205" s="2"/>
      <c r="EW205" s="2"/>
    </row>
    <row r="206" spans="1:153"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c r="EV206" s="2"/>
      <c r="EW206" s="2"/>
    </row>
    <row r="207" spans="1:153"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c r="EV207" s="2"/>
      <c r="EW207" s="2"/>
    </row>
    <row r="208" spans="1:153"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c r="EV208" s="2"/>
      <c r="EW208" s="2"/>
    </row>
    <row r="209" spans="1:153"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c r="EV209" s="2"/>
      <c r="EW209" s="2"/>
    </row>
    <row r="210" spans="1:153"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c r="EV210" s="2"/>
      <c r="EW210" s="2"/>
    </row>
    <row r="211" spans="1:153"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c r="EV211" s="2"/>
      <c r="EW211" s="2"/>
    </row>
    <row r="212" spans="1:153"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c r="EV212" s="2"/>
      <c r="EW212" s="2"/>
    </row>
    <row r="213" spans="1:153"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c r="EV213" s="2"/>
      <c r="EW213" s="2"/>
    </row>
    <row r="214" spans="1:153"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c r="EV214" s="2"/>
      <c r="EW214" s="2"/>
    </row>
    <row r="215" spans="1:153"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c r="EV215" s="2"/>
      <c r="EW215" s="2"/>
    </row>
    <row r="216" spans="1:153"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c r="EV216" s="2"/>
      <c r="EW216" s="2"/>
    </row>
    <row r="217" spans="1:153"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c r="EV217" s="2"/>
      <c r="EW217" s="2"/>
    </row>
    <row r="218" spans="1:153"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c r="EV218" s="2"/>
      <c r="EW218" s="2"/>
    </row>
    <row r="219" spans="1:153"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c r="EV219" s="2"/>
      <c r="EW219" s="2"/>
    </row>
    <row r="220" spans="1:153"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c r="EV220" s="2"/>
      <c r="EW220" s="2"/>
    </row>
    <row r="221" spans="1:153"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c r="EV221" s="2"/>
      <c r="EW221" s="2"/>
    </row>
    <row r="222" spans="1:153"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c r="EV222" s="2"/>
      <c r="EW222" s="2"/>
    </row>
    <row r="223" spans="1:153"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c r="EV223" s="2"/>
      <c r="EW223" s="2"/>
    </row>
    <row r="224" spans="1:153"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c r="EV224" s="2"/>
      <c r="EW224" s="2"/>
    </row>
    <row r="225" spans="1:153"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c r="EV225" s="2"/>
      <c r="EW225" s="2"/>
    </row>
    <row r="226" spans="1:153"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c r="EV226" s="2"/>
      <c r="EW226" s="2"/>
    </row>
    <row r="227" spans="1:153"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c r="EV227" s="2"/>
      <c r="EW227" s="2"/>
    </row>
    <row r="228" spans="1:153"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c r="EV228" s="2"/>
      <c r="EW228" s="2"/>
    </row>
    <row r="229" spans="1:153"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c r="EV229" s="2"/>
      <c r="EW229" s="2"/>
    </row>
    <row r="230" spans="1:153"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c r="EV230" s="2"/>
      <c r="EW230" s="2"/>
    </row>
    <row r="231" spans="1:153"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c r="EV231" s="2"/>
      <c r="EW231" s="2"/>
    </row>
    <row r="232" spans="1:153"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c r="EV232" s="2"/>
      <c r="EW232" s="2"/>
    </row>
    <row r="233" spans="1:153"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c r="EV233" s="2"/>
      <c r="EW233" s="2"/>
    </row>
    <row r="234" spans="1:153"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c r="EV234" s="2"/>
      <c r="EW234" s="2"/>
    </row>
    <row r="235" spans="1:153"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c r="EV235" s="2"/>
      <c r="EW235" s="2"/>
    </row>
    <row r="236" spans="1:153"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c r="EV236" s="2"/>
      <c r="EW236" s="2"/>
    </row>
    <row r="237" spans="1:153"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c r="EV237" s="2"/>
      <c r="EW237" s="2"/>
    </row>
    <row r="238" spans="1:153"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c r="EV238" s="2"/>
      <c r="EW238" s="2"/>
    </row>
    <row r="239" spans="1:153"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c r="EV239" s="2"/>
      <c r="EW239" s="2"/>
    </row>
    <row r="240" spans="1:153"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c r="EV240" s="2"/>
      <c r="EW240" s="2"/>
    </row>
    <row r="241" spans="1:153"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c r="EV241" s="2"/>
      <c r="EW241" s="2"/>
    </row>
    <row r="242" spans="1:153"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c r="EV242" s="2"/>
      <c r="EW242" s="2"/>
    </row>
    <row r="243" spans="1:153"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c r="EV243" s="2"/>
      <c r="EW243" s="2"/>
    </row>
    <row r="244" spans="1:153"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c r="EV244" s="2"/>
      <c r="EW244" s="2"/>
    </row>
    <row r="245" spans="1:153"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c r="EV245" s="2"/>
      <c r="EW245" s="2"/>
    </row>
    <row r="246" spans="1:153"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c r="EV246" s="2"/>
      <c r="EW246" s="2"/>
    </row>
    <row r="247" spans="1:153"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c r="EV247" s="2"/>
      <c r="EW247" s="2"/>
    </row>
    <row r="248" spans="1:153"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c r="EV248" s="2"/>
      <c r="EW248" s="2"/>
    </row>
    <row r="249" spans="1:153"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c r="EV249" s="2"/>
      <c r="EW249" s="2"/>
    </row>
    <row r="250" spans="1:153"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c r="EV250" s="2"/>
      <c r="EW250" s="2"/>
    </row>
  </sheetData>
  <autoFilter ref="A1:EW170" xr:uid="{C7FAA63B-DEDB-48F1-9CCA-3BF0BF1CD86F}">
    <sortState xmlns:xlrd2="http://schemas.microsoft.com/office/spreadsheetml/2017/richdata2" ref="A2:EW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E250"/>
  <sheetViews>
    <sheetView topLeftCell="A94" workbookViewId="0">
      <pane xSplit="1" topLeftCell="B1" activePane="topRight" state="frozen"/>
      <selection pane="topRight" activeCell="C169" sqref="C169"/>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5" width="14.28515625" customWidth="1"/>
    <col min="16" max="16" width="16.5703125" bestFit="1" customWidth="1"/>
    <col min="17" max="17" width="17.85546875" customWidth="1"/>
    <col min="19" max="19" width="14.5703125" bestFit="1" customWidth="1"/>
    <col min="20" max="20" width="19.7109375" bestFit="1" customWidth="1"/>
    <col min="22" max="22" width="13.5703125" bestFit="1" customWidth="1"/>
    <col min="23" max="23" width="15.42578125" customWidth="1"/>
    <col min="24" max="24" width="17.28515625" bestFit="1" customWidth="1"/>
    <col min="26" max="26" width="14.28515625" bestFit="1" customWidth="1"/>
    <col min="27" max="27" width="14.28515625" customWidth="1"/>
    <col min="28" max="28" width="12.42578125" bestFit="1" customWidth="1"/>
    <col min="30" max="30" width="14.28515625" bestFit="1" customWidth="1"/>
    <col min="31" max="31" width="19.140625" bestFit="1" customWidth="1"/>
  </cols>
  <sheetData>
    <row r="1" spans="1:31" s="9" customFormat="1" x14ac:dyDescent="0.25">
      <c r="A1" s="7" t="s">
        <v>72</v>
      </c>
      <c r="B1" s="8" t="s">
        <v>143</v>
      </c>
      <c r="C1" s="8" t="s">
        <v>144</v>
      </c>
      <c r="D1" s="8" t="s">
        <v>251</v>
      </c>
      <c r="E1" s="8" t="s">
        <v>129</v>
      </c>
      <c r="F1" s="8" t="s">
        <v>528</v>
      </c>
      <c r="G1" s="8" t="s">
        <v>719</v>
      </c>
      <c r="H1" s="8" t="s">
        <v>141</v>
      </c>
      <c r="I1" s="8" t="s">
        <v>574</v>
      </c>
      <c r="J1" s="8" t="s">
        <v>237</v>
      </c>
      <c r="K1" s="8" t="s">
        <v>133</v>
      </c>
      <c r="L1" s="8" t="s">
        <v>134</v>
      </c>
      <c r="M1" s="8" t="s">
        <v>283</v>
      </c>
      <c r="N1" s="7" t="s">
        <v>585</v>
      </c>
      <c r="O1" s="8" t="s">
        <v>883</v>
      </c>
      <c r="P1" s="8" t="s">
        <v>132</v>
      </c>
      <c r="Q1" s="8" t="s">
        <v>285</v>
      </c>
      <c r="R1" s="8" t="s">
        <v>130</v>
      </c>
      <c r="S1" s="7" t="s">
        <v>135</v>
      </c>
      <c r="T1" s="7" t="s">
        <v>136</v>
      </c>
      <c r="U1" s="7" t="s">
        <v>137</v>
      </c>
      <c r="V1" s="7" t="s">
        <v>343</v>
      </c>
      <c r="W1" s="7" t="s">
        <v>138</v>
      </c>
      <c r="X1" s="7" t="s">
        <v>139</v>
      </c>
      <c r="Y1" s="7" t="s">
        <v>218</v>
      </c>
      <c r="Z1" s="7" t="s">
        <v>131</v>
      </c>
      <c r="AA1" s="7" t="s">
        <v>535</v>
      </c>
      <c r="AB1" s="7" t="s">
        <v>199</v>
      </c>
      <c r="AC1" s="7" t="s">
        <v>250</v>
      </c>
      <c r="AD1" s="7" t="s">
        <v>286</v>
      </c>
      <c r="AE1" s="7" t="s">
        <v>344</v>
      </c>
    </row>
    <row r="2" spans="1:31" x14ac:dyDescent="0.25">
      <c r="A2" s="1" t="str">
        <f>IF(receta!A2="","",receta!A2)</f>
        <v>Agua de Valencia</v>
      </c>
      <c r="B2" s="1"/>
      <c r="C2" s="1">
        <v>1</v>
      </c>
      <c r="D2" s="1"/>
      <c r="E2" s="1"/>
      <c r="F2" s="1"/>
      <c r="G2" s="1"/>
      <c r="H2" s="1"/>
      <c r="I2" s="1"/>
      <c r="J2" s="2"/>
      <c r="K2" s="1"/>
      <c r="L2" s="1"/>
      <c r="M2" s="1"/>
      <c r="N2" s="1"/>
      <c r="O2" s="1"/>
      <c r="P2" s="1"/>
      <c r="Q2" s="1"/>
      <c r="R2" s="1"/>
      <c r="S2" s="1"/>
      <c r="T2" s="1"/>
      <c r="U2" s="1"/>
      <c r="V2" s="2"/>
      <c r="W2" s="1"/>
      <c r="X2" s="1"/>
      <c r="Y2" s="1"/>
      <c r="Z2" s="1"/>
      <c r="AA2" s="1"/>
      <c r="AB2" s="2"/>
      <c r="AC2" s="2"/>
      <c r="AD2" s="2"/>
      <c r="AE2" s="2"/>
    </row>
    <row r="3" spans="1:31" x14ac:dyDescent="0.25">
      <c r="A3" s="1" t="str">
        <f>IF(receta!A3="","",receta!A3)</f>
        <v>Alejandra</v>
      </c>
      <c r="B3" s="1"/>
      <c r="C3" s="1"/>
      <c r="D3" s="1"/>
      <c r="E3" s="1"/>
      <c r="F3" s="1"/>
      <c r="G3" s="1"/>
      <c r="H3" s="1"/>
      <c r="I3" s="1"/>
      <c r="J3" s="2"/>
      <c r="K3" s="1"/>
      <c r="L3" s="1"/>
      <c r="M3" s="1"/>
      <c r="N3" s="1"/>
      <c r="O3" s="1"/>
      <c r="P3" s="1"/>
      <c r="Q3" s="1"/>
      <c r="R3" s="1"/>
      <c r="S3" s="1"/>
      <c r="T3" s="1"/>
      <c r="U3" s="1"/>
      <c r="V3" s="2"/>
      <c r="W3" s="1"/>
      <c r="X3" s="1"/>
      <c r="Y3" s="1"/>
      <c r="Z3" s="1"/>
      <c r="AA3" s="1"/>
      <c r="AB3" s="2"/>
      <c r="AC3" s="2"/>
      <c r="AD3" s="2"/>
      <c r="AE3" s="2"/>
    </row>
    <row r="4" spans="1:31" x14ac:dyDescent="0.25">
      <c r="A4" s="1" t="str">
        <f>IF(receta!A4="","",receta!A4)</f>
        <v>Alevosía</v>
      </c>
      <c r="B4" s="1">
        <v>1</v>
      </c>
      <c r="C4" s="1"/>
      <c r="D4" s="1"/>
      <c r="E4" s="1"/>
      <c r="F4" s="1"/>
      <c r="G4" s="1"/>
      <c r="H4" s="1"/>
      <c r="I4" s="1"/>
      <c r="J4" s="2">
        <v>1</v>
      </c>
      <c r="K4" s="1"/>
      <c r="L4" s="1"/>
      <c r="M4" s="1"/>
      <c r="N4" s="1"/>
      <c r="O4" s="1"/>
      <c r="P4" s="1"/>
      <c r="Q4" s="1"/>
      <c r="R4" s="1"/>
      <c r="S4" s="1"/>
      <c r="T4" s="1"/>
      <c r="U4" s="1"/>
      <c r="V4" s="2"/>
      <c r="W4" s="1"/>
      <c r="X4" s="1"/>
      <c r="Y4" s="1"/>
      <c r="Z4" s="1"/>
      <c r="AA4" s="1"/>
      <c r="AB4" s="2"/>
      <c r="AC4" s="2"/>
      <c r="AD4" s="2"/>
      <c r="AE4" s="2"/>
    </row>
    <row r="5" spans="1:31" x14ac:dyDescent="0.25">
      <c r="A5" s="1" t="str">
        <f>IF(receta!A5="","",receta!A5)</f>
        <v>Alexander</v>
      </c>
      <c r="B5" s="1"/>
      <c r="C5" s="1"/>
      <c r="D5" s="1"/>
      <c r="E5" s="1"/>
      <c r="F5" s="1"/>
      <c r="G5" s="1"/>
      <c r="H5" s="1"/>
      <c r="I5" s="1"/>
      <c r="J5" s="2"/>
      <c r="K5" s="1"/>
      <c r="L5" s="1"/>
      <c r="M5" s="1"/>
      <c r="N5" s="1"/>
      <c r="O5" s="1"/>
      <c r="P5" s="1"/>
      <c r="Q5" s="1"/>
      <c r="R5" s="1"/>
      <c r="S5" s="1"/>
      <c r="T5" s="1"/>
      <c r="U5" s="1"/>
      <c r="V5" s="2"/>
      <c r="W5" s="1"/>
      <c r="X5" s="1"/>
      <c r="Y5" s="1"/>
      <c r="Z5" s="1"/>
      <c r="AA5" s="1"/>
      <c r="AB5" s="2"/>
      <c r="AC5" s="2"/>
      <c r="AD5" s="2"/>
      <c r="AE5" s="2"/>
    </row>
    <row r="6" spans="1:31"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spans="1:31" x14ac:dyDescent="0.25">
      <c r="A7" s="1" t="str">
        <f>IF(receta!A7="","",receta!A7)</f>
        <v>Amaretto Spritz</v>
      </c>
      <c r="B7" s="2">
        <v>1</v>
      </c>
      <c r="C7" s="2"/>
      <c r="D7" s="2"/>
      <c r="E7" s="2"/>
      <c r="F7" s="2"/>
      <c r="G7" s="2"/>
      <c r="H7" s="2"/>
      <c r="I7" s="2"/>
      <c r="J7" s="2"/>
      <c r="K7" s="2"/>
      <c r="L7" s="2"/>
      <c r="M7" s="2"/>
      <c r="N7" s="2"/>
      <c r="O7" s="2"/>
      <c r="P7" s="2"/>
      <c r="Q7" s="2"/>
      <c r="R7" s="2"/>
      <c r="S7" s="2">
        <v>1</v>
      </c>
      <c r="T7" s="2"/>
      <c r="U7" s="2"/>
      <c r="V7" s="2"/>
      <c r="W7" s="2"/>
      <c r="X7" s="2"/>
      <c r="Y7" s="2"/>
      <c r="Z7" s="2"/>
      <c r="AA7" s="2"/>
      <c r="AB7" s="2"/>
      <c r="AC7" s="2"/>
      <c r="AD7" s="2"/>
      <c r="AE7" s="2"/>
    </row>
    <row r="8" spans="1:31"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c r="AE8" s="2"/>
    </row>
    <row r="9" spans="1:31" x14ac:dyDescent="0.25">
      <c r="A9" s="1" t="str">
        <f>IF(receta!A9="","",receta!A9)</f>
        <v>Amiga Mía</v>
      </c>
      <c r="B9" s="2"/>
      <c r="C9" s="2"/>
      <c r="D9" s="2">
        <v>1</v>
      </c>
      <c r="E9" s="2"/>
      <c r="F9" s="2"/>
      <c r="G9" s="2"/>
      <c r="H9" s="2"/>
      <c r="I9" s="2"/>
      <c r="J9" s="2"/>
      <c r="K9" s="2"/>
      <c r="L9" s="2"/>
      <c r="M9" s="2"/>
      <c r="N9" s="2"/>
      <c r="O9" s="2"/>
      <c r="P9" s="2"/>
      <c r="Q9" s="2"/>
      <c r="R9" s="2"/>
      <c r="S9" s="2"/>
      <c r="T9" s="2"/>
      <c r="U9" s="2">
        <v>1</v>
      </c>
      <c r="V9" s="2"/>
      <c r="W9" s="2"/>
      <c r="X9" s="2"/>
      <c r="Y9" s="2"/>
      <c r="Z9" s="2"/>
      <c r="AA9" s="2"/>
      <c r="AB9" s="2"/>
      <c r="AC9" s="2"/>
      <c r="AD9" s="2"/>
      <c r="AE9" s="2"/>
    </row>
    <row r="10" spans="1:31" x14ac:dyDescent="0.25">
      <c r="A10" s="1" t="str">
        <f>IF(receta!A10="","",receta!A10)</f>
        <v>Andes Refresh</v>
      </c>
      <c r="B10" s="1"/>
      <c r="C10" s="1"/>
      <c r="D10" s="1"/>
      <c r="E10" s="1"/>
      <c r="F10" s="1"/>
      <c r="G10" s="1"/>
      <c r="H10" s="1"/>
      <c r="I10" s="1"/>
      <c r="J10" s="2"/>
      <c r="K10" s="1"/>
      <c r="L10" s="1">
        <v>1</v>
      </c>
      <c r="M10" s="1"/>
      <c r="N10" s="1"/>
      <c r="O10" s="1"/>
      <c r="P10" s="1"/>
      <c r="Q10" s="1"/>
      <c r="R10" s="1">
        <v>1</v>
      </c>
      <c r="S10" s="1"/>
      <c r="T10" s="1"/>
      <c r="U10" s="1"/>
      <c r="V10" s="2"/>
      <c r="W10" s="1"/>
      <c r="X10" s="1"/>
      <c r="Y10" s="1"/>
      <c r="Z10" s="1"/>
      <c r="AA10" s="1"/>
      <c r="AB10" s="2"/>
      <c r="AC10" s="2"/>
      <c r="AD10" s="2"/>
      <c r="AE10" s="2"/>
    </row>
    <row r="11" spans="1:31" x14ac:dyDescent="0.25">
      <c r="A11" s="1" t="str">
        <f>IF(receta!A11="","",receta!A11)</f>
        <v>Aperol Spritz</v>
      </c>
      <c r="B11" s="2"/>
      <c r="C11" s="2">
        <v>1</v>
      </c>
      <c r="D11" s="2"/>
      <c r="E11" s="2"/>
      <c r="F11" s="2"/>
      <c r="G11" s="2"/>
      <c r="H11" s="2"/>
      <c r="I11" s="2"/>
      <c r="J11" s="2"/>
      <c r="K11" s="2"/>
      <c r="L11" s="2"/>
      <c r="M11" s="2"/>
      <c r="N11" s="2"/>
      <c r="O11" s="2"/>
      <c r="P11" s="2"/>
      <c r="Q11" s="2"/>
      <c r="R11" s="2"/>
      <c r="S11" s="2">
        <v>1</v>
      </c>
      <c r="T11" s="2"/>
      <c r="U11" s="2"/>
      <c r="V11" s="2"/>
      <c r="W11" s="2"/>
      <c r="X11" s="2"/>
      <c r="Y11" s="2"/>
      <c r="Z11" s="2"/>
      <c r="AA11" s="2"/>
      <c r="AB11" s="2"/>
      <c r="AC11" s="2"/>
      <c r="AD11" s="2"/>
      <c r="AE11" s="2"/>
    </row>
    <row r="12" spans="1:31"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1"/>
      <c r="V12" s="2"/>
      <c r="W12" s="1"/>
      <c r="X12" s="1"/>
      <c r="Y12" s="1"/>
      <c r="Z12" s="1"/>
      <c r="AA12" s="1"/>
      <c r="AB12" s="2"/>
      <c r="AC12" s="2"/>
      <c r="AD12" s="2"/>
      <c r="AE12" s="2"/>
    </row>
    <row r="13" spans="1:31" x14ac:dyDescent="0.25">
      <c r="A13" s="1" t="str">
        <f>IF(receta!A13="","",receta!A13)</f>
        <v>Bellini</v>
      </c>
      <c r="B13" s="1"/>
      <c r="C13" s="1"/>
      <c r="D13" s="1"/>
      <c r="E13" s="1"/>
      <c r="F13" s="1"/>
      <c r="G13" s="1"/>
      <c r="H13" s="1"/>
      <c r="I13" s="1"/>
      <c r="J13" s="2"/>
      <c r="K13" s="1"/>
      <c r="L13" s="1"/>
      <c r="M13" s="1"/>
      <c r="N13" s="1"/>
      <c r="O13" s="1"/>
      <c r="P13" s="1"/>
      <c r="Q13" s="1"/>
      <c r="R13" s="1"/>
      <c r="S13" s="1"/>
      <c r="T13" s="1"/>
      <c r="U13" s="1"/>
      <c r="V13" s="2"/>
      <c r="W13" s="1"/>
      <c r="X13" s="1"/>
      <c r="Y13" s="1"/>
      <c r="Z13" s="1"/>
      <c r="AA13" s="1"/>
      <c r="AB13" s="2"/>
      <c r="AC13" s="2"/>
      <c r="AD13" s="2"/>
      <c r="AE13" s="2"/>
    </row>
    <row r="14" spans="1:31" x14ac:dyDescent="0.25">
      <c r="A14" s="1" t="str">
        <f>IF(receta!A14="","",receta!A14)</f>
        <v>Bello Barrio</v>
      </c>
      <c r="B14" s="1">
        <v>1</v>
      </c>
      <c r="C14" s="1"/>
      <c r="D14" s="1"/>
      <c r="E14" s="1"/>
      <c r="F14" s="1"/>
      <c r="G14" s="1"/>
      <c r="H14" s="1"/>
      <c r="I14" s="1"/>
      <c r="J14" s="2"/>
      <c r="K14" s="1"/>
      <c r="L14" s="1"/>
      <c r="M14" s="1"/>
      <c r="N14" s="1"/>
      <c r="O14" s="1"/>
      <c r="P14" s="1"/>
      <c r="Q14" s="1"/>
      <c r="R14" s="1"/>
      <c r="S14" s="1"/>
      <c r="T14" s="1"/>
      <c r="U14" s="1"/>
      <c r="V14" s="2"/>
      <c r="W14" s="1"/>
      <c r="X14" s="1"/>
      <c r="Y14" s="1"/>
      <c r="Z14" s="1"/>
      <c r="AA14" s="1"/>
      <c r="AB14" s="2"/>
      <c r="AC14" s="2"/>
      <c r="AD14" s="2"/>
      <c r="AE14" s="2"/>
    </row>
    <row r="15" spans="1:31" x14ac:dyDescent="0.25">
      <c r="A15" s="1" t="str">
        <f>IF(receta!A15="","",receta!A15)</f>
        <v>Bitter Batido</v>
      </c>
      <c r="B15" s="1"/>
      <c r="C15" s="1">
        <v>1</v>
      </c>
      <c r="D15" s="1"/>
      <c r="E15" s="1"/>
      <c r="F15" s="1"/>
      <c r="G15" s="1"/>
      <c r="H15" s="1"/>
      <c r="I15" s="1"/>
      <c r="J15" s="2"/>
      <c r="K15" s="1"/>
      <c r="L15" s="1"/>
      <c r="M15" s="1"/>
      <c r="N15" s="1"/>
      <c r="O15" s="1"/>
      <c r="P15" s="1"/>
      <c r="Q15" s="1"/>
      <c r="R15" s="1"/>
      <c r="S15" s="1"/>
      <c r="T15" s="1"/>
      <c r="U15" s="1"/>
      <c r="V15" s="2"/>
      <c r="W15" s="1"/>
      <c r="X15" s="1"/>
      <c r="Y15" s="1"/>
      <c r="Z15" s="1"/>
      <c r="AA15" s="1"/>
      <c r="AB15" s="2"/>
      <c r="AC15" s="2"/>
      <c r="AD15" s="2"/>
      <c r="AE15" s="2"/>
    </row>
    <row r="16" spans="1:31" x14ac:dyDescent="0.25">
      <c r="A16" s="1" t="str">
        <f>IF(receta!A16="","",receta!A16)</f>
        <v>Blanco de Verano</v>
      </c>
      <c r="B16" s="1">
        <v>1</v>
      </c>
      <c r="C16" s="1"/>
      <c r="D16" s="1"/>
      <c r="E16" s="1"/>
      <c r="F16" s="1"/>
      <c r="G16" s="1"/>
      <c r="H16" s="1"/>
      <c r="I16" s="1"/>
      <c r="J16" s="2"/>
      <c r="K16" s="1"/>
      <c r="L16" s="1"/>
      <c r="M16" s="1"/>
      <c r="N16" s="1"/>
      <c r="O16" s="1"/>
      <c r="P16" s="1"/>
      <c r="Q16" s="1"/>
      <c r="R16" s="1"/>
      <c r="S16" s="1">
        <v>1</v>
      </c>
      <c r="T16" s="1"/>
      <c r="U16" s="1"/>
      <c r="V16" s="2"/>
      <c r="W16" s="1"/>
      <c r="X16" s="1"/>
      <c r="Y16" s="1"/>
      <c r="Z16" s="1"/>
      <c r="AA16" s="1"/>
      <c r="AB16" s="2"/>
      <c r="AC16" s="2"/>
      <c r="AD16" s="2"/>
      <c r="AE16" s="2"/>
    </row>
    <row r="17" spans="1:31"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c r="W17" s="2">
        <v>1</v>
      </c>
      <c r="X17" s="2"/>
      <c r="Y17" s="2"/>
      <c r="Z17" s="2"/>
      <c r="AA17" s="2"/>
      <c r="AB17" s="2"/>
      <c r="AC17" s="2"/>
      <c r="AD17" s="2"/>
      <c r="AE17" s="2"/>
    </row>
    <row r="18" spans="1:31"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c r="W18" s="2">
        <v>1</v>
      </c>
      <c r="X18" s="2"/>
      <c r="Y18" s="2"/>
      <c r="Z18" s="2"/>
      <c r="AA18" s="2"/>
      <c r="AB18" s="2"/>
      <c r="AC18" s="2"/>
      <c r="AD18" s="2"/>
      <c r="AE18" s="2"/>
    </row>
    <row r="19" spans="1:31" x14ac:dyDescent="0.25">
      <c r="A19" s="1" t="str">
        <f>IF(receta!A19="","",receta!A19)</f>
        <v>Blue Hawaii</v>
      </c>
      <c r="B19" s="1"/>
      <c r="C19" s="1"/>
      <c r="D19" s="1"/>
      <c r="E19" s="1">
        <v>1</v>
      </c>
      <c r="F19" s="1"/>
      <c r="G19" s="1"/>
      <c r="H19" s="1"/>
      <c r="I19" s="1"/>
      <c r="J19" s="2"/>
      <c r="K19" s="1"/>
      <c r="L19" s="1"/>
      <c r="M19" s="1"/>
      <c r="N19" s="1"/>
      <c r="O19" s="1"/>
      <c r="P19" s="1">
        <v>1</v>
      </c>
      <c r="Q19" s="1"/>
      <c r="R19" s="1"/>
      <c r="S19" s="1"/>
      <c r="T19" s="1"/>
      <c r="U19" s="1"/>
      <c r="V19" s="2"/>
      <c r="W19" s="1"/>
      <c r="X19" s="1"/>
      <c r="Y19" s="1"/>
      <c r="Z19" s="1"/>
      <c r="AA19" s="1"/>
      <c r="AB19" s="2"/>
      <c r="AC19" s="2"/>
      <c r="AD19" s="2"/>
      <c r="AE19" s="2"/>
    </row>
    <row r="20" spans="1:31" x14ac:dyDescent="0.25">
      <c r="A20" s="1" t="str">
        <f>IF(receta!A20="","",receta!A20)</f>
        <v>Blue Hawaiian</v>
      </c>
      <c r="B20" s="1"/>
      <c r="C20" s="1"/>
      <c r="D20" s="1"/>
      <c r="E20" s="1">
        <v>1</v>
      </c>
      <c r="F20" s="1"/>
      <c r="G20" s="1"/>
      <c r="H20" s="1"/>
      <c r="I20" s="1"/>
      <c r="J20" s="2"/>
      <c r="K20" s="1"/>
      <c r="L20" s="1"/>
      <c r="M20" s="1"/>
      <c r="N20" s="1"/>
      <c r="O20" s="1"/>
      <c r="P20" s="1">
        <v>1</v>
      </c>
      <c r="Q20" s="1"/>
      <c r="R20" s="1"/>
      <c r="S20" s="1"/>
      <c r="T20" s="1"/>
      <c r="U20" s="1"/>
      <c r="V20" s="2"/>
      <c r="W20" s="1"/>
      <c r="X20" s="1"/>
      <c r="Y20" s="1"/>
      <c r="Z20" s="1"/>
      <c r="AA20" s="1"/>
      <c r="AB20" s="2"/>
      <c r="AC20" s="2"/>
      <c r="AD20" s="2"/>
      <c r="AE20" s="2"/>
    </row>
    <row r="21" spans="1:31" x14ac:dyDescent="0.25">
      <c r="A21" s="1" t="str">
        <f>IF(receta!A21="","",receta!A21)</f>
        <v>Borgoña</v>
      </c>
      <c r="B21" s="1"/>
      <c r="C21" s="1"/>
      <c r="D21" s="1"/>
      <c r="E21" s="1"/>
      <c r="F21" s="1"/>
      <c r="G21" s="1"/>
      <c r="H21" s="1"/>
      <c r="I21" s="1"/>
      <c r="J21" s="2"/>
      <c r="K21" s="1"/>
      <c r="L21" s="1"/>
      <c r="M21" s="1"/>
      <c r="N21" s="1"/>
      <c r="O21" s="1"/>
      <c r="P21" s="1"/>
      <c r="Q21" s="1"/>
      <c r="R21" s="1"/>
      <c r="S21" s="1"/>
      <c r="T21" s="1"/>
      <c r="U21" s="1"/>
      <c r="V21" s="2"/>
      <c r="W21" s="1"/>
      <c r="X21" s="1"/>
      <c r="Y21" s="1"/>
      <c r="Z21" s="1"/>
      <c r="AA21" s="1"/>
      <c r="AB21" s="2"/>
      <c r="AC21" s="2"/>
      <c r="AD21" s="2"/>
      <c r="AE21" s="2"/>
    </row>
    <row r="22" spans="1:31" x14ac:dyDescent="0.25">
      <c r="A22" s="1" t="str">
        <f>IF(receta!A22="","",receta!A22)</f>
        <v>Caipiriña</v>
      </c>
      <c r="B22" s="1"/>
      <c r="C22" s="1"/>
      <c r="D22" s="1"/>
      <c r="E22" s="1"/>
      <c r="F22" s="1"/>
      <c r="G22" s="1"/>
      <c r="H22" s="1"/>
      <c r="I22" s="1"/>
      <c r="J22" s="2"/>
      <c r="K22" s="1"/>
      <c r="L22" s="1"/>
      <c r="M22" s="1"/>
      <c r="N22" s="1"/>
      <c r="O22" s="1"/>
      <c r="P22" s="1"/>
      <c r="Q22" s="1"/>
      <c r="R22" s="1"/>
      <c r="S22" s="1"/>
      <c r="T22" s="1"/>
      <c r="U22" s="1"/>
      <c r="V22" s="2"/>
      <c r="W22" s="1"/>
      <c r="X22" s="1"/>
      <c r="Y22" s="1"/>
      <c r="Z22" s="1"/>
      <c r="AA22" s="1"/>
      <c r="AB22" s="2"/>
      <c r="AC22" s="2"/>
      <c r="AD22" s="2"/>
      <c r="AE22" s="2"/>
    </row>
    <row r="23" spans="1:31"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1"/>
      <c r="V23" s="2"/>
      <c r="W23" s="1"/>
      <c r="X23" s="1"/>
      <c r="Y23" s="1"/>
      <c r="Z23" s="1"/>
      <c r="AA23" s="1"/>
      <c r="AB23" s="2"/>
      <c r="AC23" s="2"/>
      <c r="AD23" s="2"/>
      <c r="AE23" s="2"/>
    </row>
    <row r="24" spans="1:31" x14ac:dyDescent="0.25">
      <c r="A24" s="1" t="str">
        <f>IF(receta!A24="","",receta!A24)</f>
        <v>Carajillo</v>
      </c>
      <c r="B24" s="1"/>
      <c r="C24" s="1"/>
      <c r="D24" s="1"/>
      <c r="E24" s="1"/>
      <c r="F24" s="1"/>
      <c r="G24" s="1"/>
      <c r="H24" s="1"/>
      <c r="I24" s="1"/>
      <c r="J24" s="2"/>
      <c r="K24" s="1"/>
      <c r="L24" s="1"/>
      <c r="M24" s="1"/>
      <c r="N24" s="1"/>
      <c r="O24" s="1"/>
      <c r="P24" s="1"/>
      <c r="Q24" s="1"/>
      <c r="R24" s="1"/>
      <c r="S24" s="1"/>
      <c r="T24" s="1"/>
      <c r="U24" s="1"/>
      <c r="V24" s="2"/>
      <c r="W24" s="1"/>
      <c r="X24" s="1"/>
      <c r="Y24" s="1"/>
      <c r="Z24" s="1">
        <v>1</v>
      </c>
      <c r="AA24" s="1"/>
      <c r="AB24" s="2"/>
      <c r="AC24" s="2"/>
      <c r="AD24" s="2"/>
      <c r="AE24" s="2"/>
    </row>
    <row r="25" spans="1:31" x14ac:dyDescent="0.25">
      <c r="A25" s="1" t="str">
        <f>IF(receta!A25="","",receta!A25)</f>
        <v>Chilcano</v>
      </c>
      <c r="B25" s="2">
        <v>1</v>
      </c>
      <c r="C25" s="2"/>
      <c r="D25" s="2"/>
      <c r="E25" s="2"/>
      <c r="F25" s="2"/>
      <c r="G25" s="2"/>
      <c r="H25" s="2"/>
      <c r="I25" s="2"/>
      <c r="J25" s="2"/>
      <c r="K25" s="2"/>
      <c r="L25" s="2"/>
      <c r="M25" s="2"/>
      <c r="N25" s="2"/>
      <c r="O25" s="2"/>
      <c r="P25" s="2"/>
      <c r="Q25" s="2"/>
      <c r="R25" s="2"/>
      <c r="S25" s="2">
        <v>1</v>
      </c>
      <c r="T25" s="2"/>
      <c r="U25" s="2"/>
      <c r="V25" s="2"/>
      <c r="W25" s="2"/>
      <c r="X25" s="2"/>
      <c r="Y25" s="2"/>
      <c r="Z25" s="2"/>
      <c r="AA25" s="2"/>
      <c r="AB25" s="2"/>
      <c r="AC25" s="2"/>
      <c r="AD25" s="2"/>
      <c r="AE25" s="2"/>
    </row>
    <row r="26" spans="1:31" x14ac:dyDescent="0.25">
      <c r="A26" s="1" t="str">
        <f>IF(receta!A26="","",receta!A26)</f>
        <v>Chuflay</v>
      </c>
      <c r="B26" s="1">
        <v>1</v>
      </c>
      <c r="C26" s="1"/>
      <c r="D26" s="1"/>
      <c r="E26" s="1"/>
      <c r="F26" s="1"/>
      <c r="G26" s="1"/>
      <c r="H26" s="1"/>
      <c r="I26" s="1"/>
      <c r="J26" s="2"/>
      <c r="K26" s="1"/>
      <c r="L26" s="1"/>
      <c r="M26" s="1"/>
      <c r="N26" s="1"/>
      <c r="O26" s="1"/>
      <c r="P26" s="1"/>
      <c r="Q26" s="1"/>
      <c r="R26" s="1"/>
      <c r="S26" s="1"/>
      <c r="T26" s="1"/>
      <c r="U26" s="1"/>
      <c r="V26" s="2"/>
      <c r="W26" s="1"/>
      <c r="X26" s="1"/>
      <c r="Y26" s="1"/>
      <c r="Z26" s="1"/>
      <c r="AA26" s="1"/>
      <c r="AB26" s="2"/>
      <c r="AC26" s="2"/>
      <c r="AD26" s="2"/>
      <c r="AE26" s="2"/>
    </row>
    <row r="27" spans="1:31" x14ac:dyDescent="0.25">
      <c r="A27" s="1" t="str">
        <f>IF(receta!A27="","",receta!A27)</f>
        <v>Chupilca</v>
      </c>
      <c r="B27" s="1"/>
      <c r="C27" s="1"/>
      <c r="D27" s="1"/>
      <c r="E27" s="1"/>
      <c r="F27" s="1"/>
      <c r="G27" s="1"/>
      <c r="H27" s="1"/>
      <c r="I27" s="1"/>
      <c r="J27" s="2"/>
      <c r="K27" s="1"/>
      <c r="L27" s="1"/>
      <c r="M27" s="1"/>
      <c r="N27" s="1"/>
      <c r="O27" s="1"/>
      <c r="P27" s="1"/>
      <c r="Q27" s="1"/>
      <c r="R27" s="1"/>
      <c r="S27" s="1"/>
      <c r="T27" s="1"/>
      <c r="U27" s="1"/>
      <c r="V27" s="2"/>
      <c r="W27" s="1"/>
      <c r="X27" s="1"/>
      <c r="Y27" s="1"/>
      <c r="Z27" s="1"/>
      <c r="AA27" s="1"/>
      <c r="AB27" s="2"/>
      <c r="AC27" s="2"/>
      <c r="AD27" s="2"/>
      <c r="AE27" s="2"/>
    </row>
    <row r="28" spans="1:31" x14ac:dyDescent="0.25">
      <c r="A28" s="1" t="str">
        <f>IF(receta!A28="","",receta!A28)</f>
        <v>Cimarrón</v>
      </c>
      <c r="B28" s="1"/>
      <c r="C28" s="1"/>
      <c r="D28" s="1">
        <v>1</v>
      </c>
      <c r="E28" s="1"/>
      <c r="F28" s="1"/>
      <c r="G28" s="1"/>
      <c r="H28" s="1"/>
      <c r="I28" s="1"/>
      <c r="J28" s="2"/>
      <c r="K28" s="1"/>
      <c r="L28" s="1"/>
      <c r="M28" s="1"/>
      <c r="N28" s="1"/>
      <c r="O28" s="1"/>
      <c r="P28" s="1"/>
      <c r="Q28" s="1"/>
      <c r="R28" s="1"/>
      <c r="S28" s="1"/>
      <c r="T28" s="1"/>
      <c r="U28" s="1"/>
      <c r="V28" s="2"/>
      <c r="W28" s="1"/>
      <c r="X28" s="1">
        <v>1</v>
      </c>
      <c r="Y28" s="1"/>
      <c r="Z28" s="1"/>
      <c r="AA28" s="1"/>
      <c r="AB28" s="2"/>
      <c r="AC28" s="2"/>
      <c r="AD28" s="2"/>
      <c r="AE28" s="2"/>
    </row>
    <row r="29" spans="1:31"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spans="1:31" x14ac:dyDescent="0.25">
      <c r="A30" s="1" t="str">
        <f>IF(receta!A30="","",receta!A30)</f>
        <v>Cléry</v>
      </c>
      <c r="B30" s="1"/>
      <c r="C30" s="1"/>
      <c r="D30" s="1"/>
      <c r="E30" s="1"/>
      <c r="F30" s="1"/>
      <c r="G30" s="1"/>
      <c r="H30" s="1"/>
      <c r="I30" s="1"/>
      <c r="J30" s="2"/>
      <c r="K30" s="1"/>
      <c r="L30" s="1"/>
      <c r="M30" s="1"/>
      <c r="N30" s="1"/>
      <c r="O30" s="1"/>
      <c r="P30" s="1"/>
      <c r="Q30" s="1"/>
      <c r="R30" s="1"/>
      <c r="S30" s="1"/>
      <c r="T30" s="1"/>
      <c r="U30" s="1"/>
      <c r="V30" s="2"/>
      <c r="W30" s="1"/>
      <c r="X30" s="1"/>
      <c r="Y30" s="1"/>
      <c r="Z30" s="1"/>
      <c r="AA30" s="1"/>
      <c r="AB30" s="2"/>
      <c r="AC30" s="2"/>
      <c r="AD30" s="2"/>
      <c r="AE30" s="2"/>
    </row>
    <row r="31" spans="1:31" x14ac:dyDescent="0.25">
      <c r="A31" s="1" t="str">
        <f>IF(receta!A31="","",receta!A31)</f>
        <v>Cléry Chirimoya</v>
      </c>
      <c r="B31" s="1"/>
      <c r="C31" s="1"/>
      <c r="D31" s="1"/>
      <c r="E31" s="1"/>
      <c r="F31" s="1"/>
      <c r="G31" s="1"/>
      <c r="H31" s="1"/>
      <c r="I31" s="1"/>
      <c r="J31" s="2"/>
      <c r="K31" s="1"/>
      <c r="L31" s="1"/>
      <c r="M31" s="1"/>
      <c r="N31" s="1"/>
      <c r="O31" s="1"/>
      <c r="P31" s="1"/>
      <c r="Q31" s="1"/>
      <c r="R31" s="1"/>
      <c r="S31" s="1"/>
      <c r="T31" s="1"/>
      <c r="U31" s="1"/>
      <c r="V31" s="2"/>
      <c r="W31" s="1"/>
      <c r="X31" s="1"/>
      <c r="Y31" s="1"/>
      <c r="Z31" s="1"/>
      <c r="AA31" s="1"/>
      <c r="AB31" s="2"/>
      <c r="AC31" s="2"/>
      <c r="AD31" s="2"/>
      <c r="AE31" s="2"/>
    </row>
    <row r="32" spans="1:31"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spans="1:31" x14ac:dyDescent="0.25">
      <c r="A33" s="1" t="str">
        <f>IF(receta!A33="","",receta!A33)</f>
        <v>Clover Club</v>
      </c>
      <c r="B33" s="1"/>
      <c r="C33" s="1"/>
      <c r="D33" s="1"/>
      <c r="E33" s="1"/>
      <c r="F33" s="1">
        <v>1</v>
      </c>
      <c r="G33" s="1"/>
      <c r="H33" s="1"/>
      <c r="I33" s="1"/>
      <c r="J33" s="2"/>
      <c r="K33" s="1"/>
      <c r="L33" s="1"/>
      <c r="M33" s="1"/>
      <c r="N33" s="1"/>
      <c r="O33" s="1"/>
      <c r="P33" s="1"/>
      <c r="Q33" s="1"/>
      <c r="R33" s="1"/>
      <c r="S33" s="1"/>
      <c r="T33" s="1"/>
      <c r="U33" s="1"/>
      <c r="V33" s="2"/>
      <c r="W33" s="1"/>
      <c r="X33" s="1"/>
      <c r="Y33" s="1"/>
      <c r="Z33" s="1"/>
      <c r="AA33" s="1"/>
      <c r="AB33" s="2"/>
      <c r="AC33" s="2"/>
      <c r="AD33" s="2"/>
      <c r="AE33" s="2"/>
    </row>
    <row r="34" spans="1:31" x14ac:dyDescent="0.25">
      <c r="A34" s="1" t="str">
        <f>IF(receta!A34="","",receta!A34)</f>
        <v>Cordillera</v>
      </c>
      <c r="B34" s="1"/>
      <c r="C34" s="1"/>
      <c r="D34" s="1"/>
      <c r="E34" s="1"/>
      <c r="F34" s="1"/>
      <c r="G34" s="1"/>
      <c r="H34" s="1"/>
      <c r="I34" s="1"/>
      <c r="J34" s="2"/>
      <c r="K34" s="1"/>
      <c r="L34" s="1">
        <v>1</v>
      </c>
      <c r="M34" s="1"/>
      <c r="N34" s="1"/>
      <c r="O34" s="1"/>
      <c r="P34" s="1"/>
      <c r="Q34" s="1"/>
      <c r="R34" s="1">
        <v>1</v>
      </c>
      <c r="S34" s="1"/>
      <c r="T34" s="1"/>
      <c r="U34" s="1"/>
      <c r="V34" s="2"/>
      <c r="W34" s="1"/>
      <c r="X34" s="1"/>
      <c r="Y34" s="1"/>
      <c r="Z34" s="1"/>
      <c r="AA34" s="1"/>
      <c r="AB34" s="2"/>
      <c r="AC34" s="2"/>
      <c r="AD34" s="2"/>
      <c r="AE34" s="2"/>
    </row>
    <row r="35" spans="1:31"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1"/>
      <c r="V35" s="2"/>
      <c r="W35" s="1"/>
      <c r="X35" s="1"/>
      <c r="Y35" s="1"/>
      <c r="Z35" s="1"/>
      <c r="AA35" s="1"/>
      <c r="AB35" s="2"/>
      <c r="AC35" s="2"/>
      <c r="AD35" s="2"/>
      <c r="AE35" s="2"/>
    </row>
    <row r="36" spans="1:31" x14ac:dyDescent="0.25">
      <c r="A36" s="1" t="str">
        <f>IF(receta!A36="","",receta!A36)</f>
        <v>Cosmopolitan</v>
      </c>
      <c r="B36" s="1">
        <v>1</v>
      </c>
      <c r="C36" s="1"/>
      <c r="D36" s="1"/>
      <c r="E36" s="1"/>
      <c r="F36" s="1"/>
      <c r="G36" s="1"/>
      <c r="H36" s="1"/>
      <c r="I36" s="1"/>
      <c r="J36" s="2"/>
      <c r="K36" s="1"/>
      <c r="L36" s="1"/>
      <c r="M36" s="1"/>
      <c r="N36" s="1"/>
      <c r="O36" s="1"/>
      <c r="P36" s="1"/>
      <c r="Q36" s="1"/>
      <c r="R36" s="1"/>
      <c r="S36" s="1"/>
      <c r="T36" s="1"/>
      <c r="U36" s="1"/>
      <c r="V36" s="2"/>
      <c r="W36" s="1"/>
      <c r="X36" s="1"/>
      <c r="Y36" s="1"/>
      <c r="Z36" s="1"/>
      <c r="AA36" s="1"/>
      <c r="AB36" s="2"/>
      <c r="AC36" s="2"/>
      <c r="AD36" s="2"/>
      <c r="AE36" s="2"/>
    </row>
    <row r="37" spans="1:31" x14ac:dyDescent="0.25">
      <c r="A37" s="1" t="str">
        <f>IF(receta!A37="","",receta!A37)</f>
        <v>Crepúsculo</v>
      </c>
      <c r="B37" s="1">
        <v>1</v>
      </c>
      <c r="C37" s="1"/>
      <c r="D37" s="1"/>
      <c r="E37" s="1"/>
      <c r="F37" s="1"/>
      <c r="G37" s="1"/>
      <c r="H37" s="1"/>
      <c r="I37" s="1"/>
      <c r="J37" s="2"/>
      <c r="K37" s="1"/>
      <c r="L37" s="1"/>
      <c r="M37" s="1"/>
      <c r="N37" s="1"/>
      <c r="O37" s="1"/>
      <c r="P37" s="1"/>
      <c r="Q37" s="1"/>
      <c r="R37" s="1"/>
      <c r="S37" s="1"/>
      <c r="T37" s="1">
        <v>1</v>
      </c>
      <c r="U37" s="1"/>
      <c r="V37" s="2"/>
      <c r="W37" s="1"/>
      <c r="X37" s="1"/>
      <c r="Y37" s="1"/>
      <c r="Z37" s="1"/>
      <c r="AA37" s="1"/>
      <c r="AB37" s="2"/>
      <c r="AC37" s="2"/>
      <c r="AD37" s="2"/>
      <c r="AE37" s="2"/>
    </row>
    <row r="38" spans="1:31" x14ac:dyDescent="0.25">
      <c r="A38" s="1" t="str">
        <f>IF(receta!A38="","",receta!A38)</f>
        <v>Cuba Libre</v>
      </c>
      <c r="B38" s="1">
        <v>1</v>
      </c>
      <c r="C38" s="1"/>
      <c r="D38" s="1"/>
      <c r="E38" s="1"/>
      <c r="F38" s="1"/>
      <c r="G38" s="1"/>
      <c r="H38" s="1"/>
      <c r="I38" s="1"/>
      <c r="J38" s="2"/>
      <c r="K38" s="1"/>
      <c r="L38" s="1"/>
      <c r="M38" s="1"/>
      <c r="N38" s="1"/>
      <c r="O38" s="1"/>
      <c r="P38" s="1"/>
      <c r="Q38" s="1"/>
      <c r="R38" s="1"/>
      <c r="S38" s="1"/>
      <c r="T38" s="1"/>
      <c r="U38" s="1"/>
      <c r="V38" s="2"/>
      <c r="W38" s="1"/>
      <c r="X38" s="1"/>
      <c r="Y38" s="1"/>
      <c r="Z38" s="1"/>
      <c r="AA38" s="1"/>
      <c r="AB38" s="2"/>
      <c r="AC38" s="2"/>
      <c r="AD38" s="2"/>
      <c r="AE38" s="2"/>
    </row>
    <row r="39" spans="1:31" x14ac:dyDescent="0.25">
      <c r="A39" s="1" t="str">
        <f>IF(receta!A39="","",receta!A39)</f>
        <v>Cynar Spritz</v>
      </c>
      <c r="B39" s="1"/>
      <c r="C39" s="1">
        <v>1</v>
      </c>
      <c r="D39" s="1"/>
      <c r="E39" s="1"/>
      <c r="F39" s="1"/>
      <c r="G39" s="1"/>
      <c r="H39" s="1"/>
      <c r="I39" s="1"/>
      <c r="J39" s="2"/>
      <c r="K39" s="1"/>
      <c r="L39" s="1"/>
      <c r="M39" s="1"/>
      <c r="N39" s="1"/>
      <c r="O39" s="1"/>
      <c r="P39" s="1"/>
      <c r="Q39" s="1"/>
      <c r="R39" s="1"/>
      <c r="S39" s="1"/>
      <c r="T39" s="1"/>
      <c r="U39" s="1"/>
      <c r="V39" s="2"/>
      <c r="W39" s="1"/>
      <c r="X39" s="1"/>
      <c r="Y39" s="1"/>
      <c r="Z39" s="1"/>
      <c r="AA39" s="1"/>
      <c r="AB39" s="2"/>
      <c r="AC39" s="2"/>
      <c r="AD39" s="2"/>
      <c r="AE39" s="2"/>
    </row>
    <row r="40" spans="1:31"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spans="1:31" x14ac:dyDescent="0.25">
      <c r="A41" s="1" t="str">
        <f>IF(receta!A41="","",receta!A41)</f>
        <v>Dama Blanca</v>
      </c>
      <c r="B41" s="1">
        <v>1</v>
      </c>
      <c r="C41" s="1"/>
      <c r="D41" s="1"/>
      <c r="E41" s="1"/>
      <c r="F41" s="1"/>
      <c r="G41" s="1"/>
      <c r="H41" s="1"/>
      <c r="I41" s="1"/>
      <c r="J41" s="2"/>
      <c r="K41" s="1"/>
      <c r="L41" s="1"/>
      <c r="M41" s="1"/>
      <c r="N41" s="1"/>
      <c r="O41" s="1"/>
      <c r="P41" s="1"/>
      <c r="Q41" s="1"/>
      <c r="R41" s="1"/>
      <c r="S41" s="1"/>
      <c r="T41" s="1"/>
      <c r="U41" s="1"/>
      <c r="V41" s="2"/>
      <c r="W41" s="1"/>
      <c r="X41" s="1"/>
      <c r="Y41" s="1"/>
      <c r="Z41" s="1"/>
      <c r="AA41" s="1"/>
      <c r="AB41" s="2"/>
      <c r="AC41" s="2"/>
      <c r="AD41" s="2"/>
      <c r="AE41" s="2"/>
    </row>
    <row r="42" spans="1:31"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spans="1:31"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1"/>
      <c r="V43" s="2"/>
      <c r="W43" s="1"/>
      <c r="X43" s="1"/>
      <c r="Y43" s="1"/>
      <c r="Z43" s="1"/>
      <c r="AA43" s="1"/>
      <c r="AB43" s="2"/>
      <c r="AC43" s="2"/>
      <c r="AD43" s="2"/>
      <c r="AE43" s="2"/>
    </row>
    <row r="44" spans="1:31" x14ac:dyDescent="0.25">
      <c r="A44" s="1" t="str">
        <f>IF(receta!A44="","",receta!A44)</f>
        <v>Doug's Death</v>
      </c>
      <c r="B44" s="1"/>
      <c r="C44" s="1"/>
      <c r="D44" s="1"/>
      <c r="E44" s="1"/>
      <c r="F44" s="1"/>
      <c r="G44" s="1"/>
      <c r="H44" s="1"/>
      <c r="I44" s="1"/>
      <c r="J44" s="2"/>
      <c r="K44" s="1"/>
      <c r="L44" s="1"/>
      <c r="M44" s="1"/>
      <c r="N44" s="1"/>
      <c r="O44" s="1"/>
      <c r="P44" s="1"/>
      <c r="Q44" s="1"/>
      <c r="R44" s="1"/>
      <c r="S44" s="1"/>
      <c r="T44" s="1"/>
      <c r="U44" s="1"/>
      <c r="V44" s="2"/>
      <c r="W44" s="1"/>
      <c r="X44" s="1"/>
      <c r="Y44" s="1"/>
      <c r="Z44" s="1"/>
      <c r="AA44" s="1"/>
      <c r="AB44" s="2"/>
      <c r="AC44" s="2"/>
      <c r="AD44" s="2"/>
      <c r="AE44" s="2"/>
    </row>
    <row r="45" spans="1:31" x14ac:dyDescent="0.25">
      <c r="A45" s="1" t="str">
        <f>IF(receta!A45="","",receta!A45)</f>
        <v>Dry Martini</v>
      </c>
      <c r="B45" s="1"/>
      <c r="C45" s="1"/>
      <c r="D45" s="1"/>
      <c r="E45" s="1"/>
      <c r="F45" s="1"/>
      <c r="G45" s="1"/>
      <c r="H45" s="1"/>
      <c r="I45" s="1"/>
      <c r="J45" s="2"/>
      <c r="K45" s="1"/>
      <c r="L45" s="1"/>
      <c r="M45" s="1"/>
      <c r="N45" s="1"/>
      <c r="O45" s="1"/>
      <c r="P45" s="1"/>
      <c r="Q45" s="1"/>
      <c r="R45" s="1"/>
      <c r="S45" s="1"/>
      <c r="T45" s="1"/>
      <c r="U45" s="1"/>
      <c r="V45" s="2"/>
      <c r="W45" s="1"/>
      <c r="X45" s="1"/>
      <c r="Y45" s="1"/>
      <c r="Z45" s="1"/>
      <c r="AA45" s="1"/>
      <c r="AB45" s="2"/>
      <c r="AC45" s="2">
        <v>1</v>
      </c>
      <c r="AD45" s="2"/>
      <c r="AE45" s="2"/>
    </row>
    <row r="46" spans="1:31"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1"/>
      <c r="V46" s="2"/>
      <c r="W46" s="1"/>
      <c r="X46" s="1"/>
      <c r="Y46" s="1"/>
      <c r="Z46" s="1"/>
      <c r="AA46" s="1"/>
      <c r="AB46" s="2"/>
      <c r="AC46" s="2"/>
      <c r="AD46" s="2"/>
      <c r="AE46" s="2"/>
    </row>
    <row r="47" spans="1:31"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1"/>
      <c r="V47" s="2"/>
      <c r="W47" s="1"/>
      <c r="X47" s="1"/>
      <c r="Y47" s="1"/>
      <c r="Z47" s="1"/>
      <c r="AA47" s="1"/>
      <c r="AB47" s="2"/>
      <c r="AC47" s="2"/>
      <c r="AD47" s="2"/>
      <c r="AE47" s="2"/>
    </row>
    <row r="48" spans="1:31"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1"/>
      <c r="V48" s="2"/>
      <c r="W48" s="1"/>
      <c r="X48" s="1">
        <v>1</v>
      </c>
      <c r="Y48" s="1"/>
      <c r="Z48" s="1"/>
      <c r="AA48" s="1"/>
      <c r="AB48" s="2"/>
      <c r="AC48" s="2"/>
      <c r="AD48" s="2"/>
      <c r="AE48" s="2"/>
    </row>
    <row r="49" spans="1:31" x14ac:dyDescent="0.25">
      <c r="A49" s="1" t="str">
        <f>IF(receta!A49="","",receta!A49)</f>
        <v>Española</v>
      </c>
      <c r="B49" s="1"/>
      <c r="C49" s="1">
        <v>1</v>
      </c>
      <c r="D49" s="1"/>
      <c r="E49" s="1"/>
      <c r="F49" s="1"/>
      <c r="G49" s="1"/>
      <c r="H49" s="1"/>
      <c r="I49" s="1"/>
      <c r="J49" s="2"/>
      <c r="K49" s="1"/>
      <c r="L49" s="1"/>
      <c r="M49" s="1"/>
      <c r="N49" s="1"/>
      <c r="O49" s="1"/>
      <c r="P49" s="1"/>
      <c r="Q49" s="1"/>
      <c r="R49" s="1"/>
      <c r="S49" s="1"/>
      <c r="T49" s="1"/>
      <c r="U49" s="1"/>
      <c r="V49" s="2"/>
      <c r="W49" s="1"/>
      <c r="X49" s="1"/>
      <c r="Y49" s="1"/>
      <c r="Z49" s="1"/>
      <c r="AA49" s="1"/>
      <c r="AB49" s="2"/>
      <c r="AC49" s="2"/>
      <c r="AD49" s="2"/>
      <c r="AE49" s="2"/>
    </row>
    <row r="50" spans="1:31" x14ac:dyDescent="0.25">
      <c r="A50" s="1" t="str">
        <f>IF(receta!A50="","",receta!A50)</f>
        <v>Espiral</v>
      </c>
      <c r="B50" s="1"/>
      <c r="C50" s="1">
        <v>1</v>
      </c>
      <c r="D50" s="1"/>
      <c r="E50" s="1"/>
      <c r="F50" s="1"/>
      <c r="G50" s="1"/>
      <c r="H50" s="1"/>
      <c r="I50" s="1"/>
      <c r="J50" s="2"/>
      <c r="K50" s="1"/>
      <c r="L50" s="1"/>
      <c r="M50" s="1"/>
      <c r="N50" s="1"/>
      <c r="O50" s="1"/>
      <c r="P50" s="1"/>
      <c r="Q50" s="1"/>
      <c r="R50" s="1"/>
      <c r="S50" s="1"/>
      <c r="T50" s="1"/>
      <c r="U50" s="1"/>
      <c r="V50" s="2"/>
      <c r="W50" s="1"/>
      <c r="X50" s="1"/>
      <c r="Y50" s="1"/>
      <c r="Z50" s="1"/>
      <c r="AA50" s="1"/>
      <c r="AB50" s="2"/>
      <c r="AC50" s="2"/>
      <c r="AD50" s="2">
        <v>1</v>
      </c>
      <c r="AE50" s="2"/>
    </row>
    <row r="51" spans="1:31" x14ac:dyDescent="0.25">
      <c r="A51" s="1" t="str">
        <f>IF(receta!A51="","",receta!A51)</f>
        <v>Espresso Martini</v>
      </c>
      <c r="B51" s="1"/>
      <c r="C51" s="1"/>
      <c r="D51" s="1"/>
      <c r="E51" s="1"/>
      <c r="F51" s="1"/>
      <c r="G51" s="1"/>
      <c r="H51" s="1"/>
      <c r="I51" s="1"/>
      <c r="J51" s="2"/>
      <c r="K51" s="1"/>
      <c r="L51" s="1"/>
      <c r="M51" s="1"/>
      <c r="N51" s="1"/>
      <c r="O51" s="1"/>
      <c r="P51" s="1"/>
      <c r="Q51" s="1"/>
      <c r="R51" s="1"/>
      <c r="S51" s="1"/>
      <c r="T51" s="1"/>
      <c r="U51" s="1"/>
      <c r="V51" s="2"/>
      <c r="W51" s="1"/>
      <c r="X51" s="1"/>
      <c r="Y51" s="1"/>
      <c r="Z51" s="1">
        <v>1</v>
      </c>
      <c r="AA51" s="1"/>
      <c r="AB51" s="2"/>
      <c r="AC51" s="2"/>
      <c r="AD51" s="2"/>
      <c r="AE51" s="2"/>
    </row>
    <row r="52" spans="1:31" x14ac:dyDescent="0.25">
      <c r="A52" s="1" t="str">
        <f>IF(receta!A52="","",receta!A52)</f>
        <v>Estoy Verde</v>
      </c>
      <c r="B52" s="1"/>
      <c r="C52" s="1"/>
      <c r="D52" s="1"/>
      <c r="E52" s="1"/>
      <c r="F52" s="1"/>
      <c r="G52" s="1"/>
      <c r="H52" s="1"/>
      <c r="I52" s="1"/>
      <c r="J52" s="2"/>
      <c r="K52" s="1"/>
      <c r="L52" s="1">
        <v>1</v>
      </c>
      <c r="M52" s="1"/>
      <c r="N52" s="1"/>
      <c r="O52" s="1"/>
      <c r="P52" s="1"/>
      <c r="Q52" s="1"/>
      <c r="R52" s="1"/>
      <c r="S52" s="1"/>
      <c r="T52" s="1"/>
      <c r="U52" s="1"/>
      <c r="V52" s="2"/>
      <c r="W52" s="1"/>
      <c r="X52" s="1"/>
      <c r="Y52" s="1"/>
      <c r="Z52" s="1"/>
      <c r="AA52" s="1"/>
      <c r="AB52" s="2">
        <v>1</v>
      </c>
      <c r="AC52" s="2"/>
      <c r="AD52" s="2"/>
      <c r="AE52" s="2"/>
    </row>
    <row r="53" spans="1:31" x14ac:dyDescent="0.25">
      <c r="A53" s="1" t="str">
        <f>IF(receta!A53="","",receta!A53)</f>
        <v>Fanshop</v>
      </c>
      <c r="B53" s="1"/>
      <c r="C53" s="1"/>
      <c r="D53" s="1"/>
      <c r="E53" s="1"/>
      <c r="F53" s="1"/>
      <c r="G53" s="1"/>
      <c r="H53" s="1"/>
      <c r="I53" s="1"/>
      <c r="J53" s="2"/>
      <c r="K53" s="1"/>
      <c r="L53" s="1"/>
      <c r="M53" s="1"/>
      <c r="N53" s="1"/>
      <c r="O53" s="1"/>
      <c r="P53" s="1"/>
      <c r="Q53" s="1"/>
      <c r="R53" s="1"/>
      <c r="S53" s="1"/>
      <c r="T53" s="1"/>
      <c r="U53" s="1"/>
      <c r="V53" s="2"/>
      <c r="W53" s="1"/>
      <c r="X53" s="1"/>
      <c r="Y53" s="1"/>
      <c r="Z53" s="1"/>
      <c r="AA53" s="1"/>
      <c r="AB53" s="2"/>
      <c r="AC53" s="2"/>
      <c r="AD53" s="2"/>
      <c r="AE53" s="2"/>
    </row>
    <row r="54" spans="1:31" x14ac:dyDescent="0.25">
      <c r="A54" s="1" t="str">
        <f>IF(receta!A54="","",receta!A54)</f>
        <v>Faro</v>
      </c>
      <c r="B54" s="1"/>
      <c r="C54" s="1"/>
      <c r="D54" s="1"/>
      <c r="E54" s="1"/>
      <c r="F54" s="1"/>
      <c r="G54" s="1"/>
      <c r="H54" s="1"/>
      <c r="I54" s="1"/>
      <c r="J54" s="2"/>
      <c r="K54" s="1"/>
      <c r="L54" s="1"/>
      <c r="M54" s="1"/>
      <c r="N54" s="1"/>
      <c r="O54" s="1"/>
      <c r="P54" s="1"/>
      <c r="Q54" s="1">
        <v>1</v>
      </c>
      <c r="R54" s="1"/>
      <c r="S54" s="1"/>
      <c r="T54" s="1"/>
      <c r="U54" s="1"/>
      <c r="V54" s="2"/>
      <c r="W54" s="1"/>
      <c r="X54" s="1"/>
      <c r="Y54" s="1"/>
      <c r="Z54" s="1"/>
      <c r="AA54" s="1"/>
      <c r="AB54" s="2"/>
      <c r="AC54" s="2"/>
      <c r="AD54" s="2"/>
      <c r="AE54" s="2"/>
    </row>
    <row r="55" spans="1:31"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c r="AE55" s="2"/>
    </row>
    <row r="56" spans="1:31"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1"/>
      <c r="V56" s="2"/>
      <c r="W56" s="1"/>
      <c r="X56" s="1"/>
      <c r="Y56" s="1"/>
      <c r="Z56" s="1"/>
      <c r="AA56" s="1"/>
      <c r="AB56" s="2"/>
      <c r="AC56" s="2"/>
      <c r="AD56" s="2"/>
      <c r="AE56" s="2"/>
    </row>
    <row r="57" spans="1:31" x14ac:dyDescent="0.25">
      <c r="A57" s="1" t="str">
        <f>IF(receta!A57="","",receta!A57)</f>
        <v>Ferroviario</v>
      </c>
      <c r="B57" s="1"/>
      <c r="C57" s="1">
        <v>1</v>
      </c>
      <c r="D57" s="1"/>
      <c r="E57" s="1"/>
      <c r="F57" s="1"/>
      <c r="G57" s="1"/>
      <c r="H57" s="1"/>
      <c r="I57" s="1"/>
      <c r="J57" s="2"/>
      <c r="K57" s="1"/>
      <c r="L57" s="1"/>
      <c r="M57" s="1"/>
      <c r="N57" s="1"/>
      <c r="O57" s="1"/>
      <c r="P57" s="1"/>
      <c r="Q57" s="1"/>
      <c r="R57" s="1"/>
      <c r="S57" s="1"/>
      <c r="T57" s="1"/>
      <c r="U57" s="1"/>
      <c r="V57" s="2"/>
      <c r="W57" s="1"/>
      <c r="X57" s="1"/>
      <c r="Y57" s="1"/>
      <c r="Z57" s="1"/>
      <c r="AA57" s="1"/>
      <c r="AB57" s="2"/>
      <c r="AC57" s="2"/>
      <c r="AD57" s="2"/>
      <c r="AE57" s="2"/>
    </row>
    <row r="58" spans="1:31"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x14ac:dyDescent="0.25">
      <c r="A59" s="1" t="str">
        <f>IF(receta!A59="","",receta!A59)</f>
        <v>French 75</v>
      </c>
      <c r="B59" s="1">
        <v>1</v>
      </c>
      <c r="C59" s="1"/>
      <c r="D59" s="1"/>
      <c r="E59" s="1"/>
      <c r="F59" s="1"/>
      <c r="G59" s="1"/>
      <c r="H59" s="1"/>
      <c r="I59" s="1"/>
      <c r="J59" s="2"/>
      <c r="K59" s="1"/>
      <c r="L59" s="1"/>
      <c r="M59" s="1"/>
      <c r="N59" s="1"/>
      <c r="O59" s="1"/>
      <c r="P59" s="1"/>
      <c r="Q59" s="1"/>
      <c r="R59" s="1"/>
      <c r="S59" s="1"/>
      <c r="T59" s="1"/>
      <c r="U59" s="1"/>
      <c r="V59" s="2"/>
      <c r="W59" s="1"/>
      <c r="X59" s="1"/>
      <c r="Y59" s="1"/>
      <c r="Z59" s="1"/>
      <c r="AA59" s="1"/>
      <c r="AB59" s="2"/>
      <c r="AC59" s="2"/>
      <c r="AD59" s="2"/>
      <c r="AE59" s="2"/>
    </row>
    <row r="60" spans="1:31" x14ac:dyDescent="0.25">
      <c r="A60" s="1" t="str">
        <f>IF(receta!A60="","",receta!A60)</f>
        <v>Garibaldi</v>
      </c>
      <c r="B60" s="1"/>
      <c r="C60" s="1">
        <v>1</v>
      </c>
      <c r="D60" s="1"/>
      <c r="E60" s="1"/>
      <c r="F60" s="1"/>
      <c r="G60" s="1"/>
      <c r="H60" s="1"/>
      <c r="I60" s="1"/>
      <c r="J60" s="2"/>
      <c r="K60" s="1"/>
      <c r="L60" s="1"/>
      <c r="M60" s="1"/>
      <c r="N60" s="1"/>
      <c r="O60" s="1"/>
      <c r="P60" s="1"/>
      <c r="Q60" s="1"/>
      <c r="R60" s="1"/>
      <c r="S60" s="1"/>
      <c r="T60" s="1"/>
      <c r="U60" s="1"/>
      <c r="V60" s="2"/>
      <c r="W60" s="1"/>
      <c r="X60" s="1"/>
      <c r="Y60" s="1"/>
      <c r="Z60" s="1"/>
      <c r="AA60" s="1"/>
      <c r="AB60" s="2"/>
      <c r="AC60" s="2"/>
      <c r="AD60" s="2"/>
      <c r="AE60" s="2"/>
    </row>
    <row r="61" spans="1:31"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x14ac:dyDescent="0.25">
      <c r="A62" s="1" t="str">
        <f>IF(receta!A62="","",receta!A62)</f>
        <v>Gin con Gin</v>
      </c>
      <c r="B62" s="2">
        <v>1</v>
      </c>
      <c r="C62" s="2"/>
      <c r="D62" s="2"/>
      <c r="E62" s="2"/>
      <c r="F62" s="2"/>
      <c r="G62" s="2"/>
      <c r="H62" s="2"/>
      <c r="I62" s="2"/>
      <c r="J62" s="2"/>
      <c r="K62" s="2"/>
      <c r="L62" s="2"/>
      <c r="M62" s="2"/>
      <c r="N62" s="2"/>
      <c r="O62" s="2"/>
      <c r="P62" s="2"/>
      <c r="Q62" s="2"/>
      <c r="R62" s="2"/>
      <c r="S62" s="2">
        <v>1</v>
      </c>
      <c r="T62" s="2"/>
      <c r="U62" s="2"/>
      <c r="V62" s="2"/>
      <c r="W62" s="2"/>
      <c r="X62" s="2"/>
      <c r="Y62" s="2"/>
      <c r="Z62" s="2"/>
      <c r="AA62" s="2"/>
      <c r="AB62" s="2"/>
      <c r="AC62" s="2"/>
      <c r="AD62" s="2"/>
      <c r="AE62" s="2"/>
    </row>
    <row r="63" spans="1:31"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x14ac:dyDescent="0.25">
      <c r="A64" s="1" t="str">
        <f>IF(receta!A64="","",receta!A64)</f>
        <v>Ginger Fire</v>
      </c>
      <c r="B64" s="1"/>
      <c r="C64" s="1">
        <v>1</v>
      </c>
      <c r="D64" s="1"/>
      <c r="E64" s="1"/>
      <c r="F64" s="1"/>
      <c r="G64" s="1"/>
      <c r="H64" s="1"/>
      <c r="I64" s="1"/>
      <c r="J64" s="2"/>
      <c r="K64" s="1"/>
      <c r="L64" s="1"/>
      <c r="M64" s="1"/>
      <c r="N64" s="1"/>
      <c r="O64" s="1"/>
      <c r="P64" s="1"/>
      <c r="Q64" s="1"/>
      <c r="R64" s="1"/>
      <c r="S64" s="1"/>
      <c r="T64" s="1"/>
      <c r="U64" s="1"/>
      <c r="V64" s="2"/>
      <c r="W64" s="1"/>
      <c r="X64" s="1"/>
      <c r="Y64" s="1"/>
      <c r="Z64" s="1"/>
      <c r="AA64" s="1"/>
      <c r="AB64" s="2"/>
      <c r="AC64" s="2"/>
      <c r="AD64" s="2"/>
      <c r="AE64" s="2"/>
    </row>
    <row r="65" spans="1:31"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x14ac:dyDescent="0.25">
      <c r="A66" s="1" t="str">
        <f>IF(receta!A66="","",receta!A66)</f>
        <v>Hugo</v>
      </c>
      <c r="B66" s="1">
        <v>1</v>
      </c>
      <c r="C66" s="1"/>
      <c r="D66" s="1"/>
      <c r="E66" s="1"/>
      <c r="F66" s="1"/>
      <c r="G66" s="1"/>
      <c r="H66" s="1"/>
      <c r="I66" s="1"/>
      <c r="J66" s="2"/>
      <c r="K66" s="1"/>
      <c r="L66" s="1"/>
      <c r="M66" s="1"/>
      <c r="N66" s="1"/>
      <c r="O66" s="1"/>
      <c r="P66" s="1"/>
      <c r="Q66" s="1"/>
      <c r="R66" s="1"/>
      <c r="S66" s="1">
        <v>1</v>
      </c>
      <c r="T66" s="1"/>
      <c r="U66" s="1"/>
      <c r="V66" s="2"/>
      <c r="W66" s="1"/>
      <c r="X66" s="1"/>
      <c r="Y66" s="1"/>
      <c r="Z66" s="1"/>
      <c r="AA66" s="1"/>
      <c r="AB66" s="2"/>
      <c r="AC66" s="2"/>
      <c r="AD66" s="2"/>
      <c r="AE66" s="2"/>
    </row>
    <row r="67" spans="1:31"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c r="Y67" s="2">
        <v>1</v>
      </c>
      <c r="Z67" s="2"/>
      <c r="AA67" s="2"/>
      <c r="AB67" s="2"/>
      <c r="AC67" s="2"/>
      <c r="AD67" s="2"/>
      <c r="AE67" s="2"/>
    </row>
    <row r="68" spans="1:31" x14ac:dyDescent="0.25">
      <c r="A68" s="1" t="str">
        <f>IF(receta!A68="","",receta!A68)</f>
        <v>Ingrata</v>
      </c>
      <c r="B68" s="1">
        <v>1</v>
      </c>
      <c r="C68" s="1"/>
      <c r="D68" s="1"/>
      <c r="E68" s="1"/>
      <c r="F68" s="1"/>
      <c r="G68" s="1"/>
      <c r="H68" s="1"/>
      <c r="I68" s="1"/>
      <c r="J68" s="2"/>
      <c r="K68" s="1"/>
      <c r="L68" s="1"/>
      <c r="M68" s="1"/>
      <c r="N68" s="1"/>
      <c r="O68" s="1"/>
      <c r="P68" s="1"/>
      <c r="Q68" s="1"/>
      <c r="R68" s="1"/>
      <c r="S68" s="1">
        <v>1</v>
      </c>
      <c r="T68" s="1"/>
      <c r="U68" s="1"/>
      <c r="V68" s="2"/>
      <c r="W68" s="1"/>
      <c r="X68" s="1"/>
      <c r="Y68" s="1"/>
      <c r="Z68" s="1"/>
      <c r="AA68" s="1"/>
      <c r="AB68" s="2"/>
      <c r="AC68" s="2"/>
      <c r="AD68" s="2"/>
      <c r="AE68" s="2"/>
    </row>
    <row r="69" spans="1:31"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1"/>
      <c r="V69" s="2"/>
      <c r="W69" s="1"/>
      <c r="X69" s="1"/>
      <c r="Y69" s="1"/>
      <c r="Z69" s="1"/>
      <c r="AA69" s="1"/>
      <c r="AB69" s="2"/>
      <c r="AC69" s="2"/>
      <c r="AD69" s="2"/>
      <c r="AE69" s="2"/>
    </row>
    <row r="70" spans="1:31" x14ac:dyDescent="0.25">
      <c r="A70" s="1" t="str">
        <f>IF(receta!A70="","",receta!A70)</f>
        <v>Jardín</v>
      </c>
      <c r="B70" s="1">
        <v>1</v>
      </c>
      <c r="C70" s="1"/>
      <c r="D70" s="1"/>
      <c r="E70" s="1"/>
      <c r="F70" s="1"/>
      <c r="G70" s="1"/>
      <c r="H70" s="1"/>
      <c r="I70" s="1"/>
      <c r="J70" s="2"/>
      <c r="K70" s="1"/>
      <c r="L70" s="1">
        <v>1</v>
      </c>
      <c r="M70" s="1"/>
      <c r="N70" s="1"/>
      <c r="O70" s="1"/>
      <c r="P70" s="1"/>
      <c r="Q70" s="1"/>
      <c r="R70" s="1"/>
      <c r="S70" s="1"/>
      <c r="T70" s="1"/>
      <c r="U70" s="1"/>
      <c r="V70" s="2"/>
      <c r="W70" s="1"/>
      <c r="X70" s="1"/>
      <c r="Y70" s="1"/>
      <c r="Z70" s="1"/>
      <c r="AA70" s="1"/>
      <c r="AB70" s="2"/>
      <c r="AC70" s="2"/>
      <c r="AD70" s="2"/>
      <c r="AE70" s="2"/>
    </row>
    <row r="71" spans="1:31"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x14ac:dyDescent="0.25">
      <c r="A72" s="1" t="str">
        <f>IF(receta!A72="","",receta!A72)</f>
        <v>Jote</v>
      </c>
      <c r="B72" s="1"/>
      <c r="C72" s="1"/>
      <c r="D72" s="1"/>
      <c r="E72" s="1"/>
      <c r="F72" s="1"/>
      <c r="G72" s="1"/>
      <c r="H72" s="1"/>
      <c r="I72" s="1"/>
      <c r="J72" s="2"/>
      <c r="K72" s="1"/>
      <c r="L72" s="1"/>
      <c r="M72" s="1"/>
      <c r="N72" s="1"/>
      <c r="O72" s="1"/>
      <c r="P72" s="1"/>
      <c r="Q72" s="1"/>
      <c r="R72" s="1"/>
      <c r="S72" s="1"/>
      <c r="T72" s="1"/>
      <c r="U72" s="1"/>
      <c r="V72" s="2"/>
      <c r="W72" s="1"/>
      <c r="X72" s="1"/>
      <c r="Y72" s="1"/>
      <c r="Z72" s="1"/>
      <c r="AA72" s="1"/>
      <c r="AB72" s="2"/>
      <c r="AC72" s="2"/>
      <c r="AD72" s="2"/>
      <c r="AE72" s="2"/>
    </row>
    <row r="73" spans="1:31" x14ac:dyDescent="0.25">
      <c r="A73" s="1" t="str">
        <f>IF(receta!A73="","",receta!A73)</f>
        <v>Julepe de Menta</v>
      </c>
      <c r="B73" s="1"/>
      <c r="C73" s="1"/>
      <c r="D73" s="1"/>
      <c r="E73" s="1"/>
      <c r="F73" s="1"/>
      <c r="G73" s="1"/>
      <c r="H73" s="1"/>
      <c r="I73" s="1"/>
      <c r="J73" s="2"/>
      <c r="K73" s="1"/>
      <c r="L73" s="1"/>
      <c r="M73" s="1"/>
      <c r="N73" s="1"/>
      <c r="O73" s="1"/>
      <c r="P73" s="1"/>
      <c r="Q73" s="1"/>
      <c r="R73" s="1"/>
      <c r="S73" s="1">
        <v>1</v>
      </c>
      <c r="T73" s="1"/>
      <c r="U73" s="1"/>
      <c r="V73" s="2"/>
      <c r="W73" s="1"/>
      <c r="X73" s="1"/>
      <c r="Y73" s="1"/>
      <c r="Z73" s="1"/>
      <c r="AA73" s="1"/>
      <c r="AB73" s="2"/>
      <c r="AC73" s="2"/>
      <c r="AD73" s="2"/>
      <c r="AE73" s="2"/>
    </row>
    <row r="74" spans="1:31"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c r="AB74" s="1">
        <v>1</v>
      </c>
      <c r="AC74" s="1"/>
      <c r="AD74" s="1"/>
      <c r="AE74" s="1"/>
    </row>
    <row r="75" spans="1:31" x14ac:dyDescent="0.25">
      <c r="A75" s="1" t="str">
        <f>IF(receta!A75="","",receta!A75)</f>
        <v>Kir Royal</v>
      </c>
      <c r="B75" s="1"/>
      <c r="C75" s="1"/>
      <c r="D75" s="1"/>
      <c r="E75" s="1"/>
      <c r="F75" s="1"/>
      <c r="G75" s="1"/>
      <c r="H75" s="1"/>
      <c r="I75" s="1"/>
      <c r="J75" s="2"/>
      <c r="K75" s="1"/>
      <c r="L75" s="1"/>
      <c r="M75" s="1"/>
      <c r="N75" s="1"/>
      <c r="O75" s="1"/>
      <c r="P75" s="1"/>
      <c r="Q75" s="1"/>
      <c r="R75" s="1"/>
      <c r="S75" s="1"/>
      <c r="T75" s="1"/>
      <c r="U75" s="1"/>
      <c r="V75" s="2"/>
      <c r="W75" s="1"/>
      <c r="X75" s="1"/>
      <c r="Y75" s="1"/>
      <c r="Z75" s="1"/>
      <c r="AA75" s="1"/>
      <c r="AB75" s="2"/>
      <c r="AC75" s="2"/>
      <c r="AD75" s="2"/>
      <c r="AE75" s="2"/>
    </row>
    <row r="76" spans="1:31" x14ac:dyDescent="0.25">
      <c r="A76" s="1" t="str">
        <f>IF(receta!A76="","",receta!A76)</f>
        <v>Kokomo</v>
      </c>
      <c r="B76" s="1"/>
      <c r="C76" s="1">
        <v>1</v>
      </c>
      <c r="D76" s="1"/>
      <c r="E76" s="1">
        <v>1</v>
      </c>
      <c r="F76" s="1"/>
      <c r="G76" s="1"/>
      <c r="H76" s="1"/>
      <c r="I76" s="1"/>
      <c r="J76" s="2"/>
      <c r="K76" s="1"/>
      <c r="L76" s="1"/>
      <c r="M76" s="1"/>
      <c r="N76" s="1"/>
      <c r="O76" s="1"/>
      <c r="P76" s="1"/>
      <c r="Q76" s="1"/>
      <c r="R76" s="1"/>
      <c r="S76" s="1"/>
      <c r="T76" s="1"/>
      <c r="U76" s="1"/>
      <c r="V76" s="2"/>
      <c r="W76" s="1"/>
      <c r="X76" s="1"/>
      <c r="Y76" s="1"/>
      <c r="Z76" s="1"/>
      <c r="AA76" s="1"/>
      <c r="AB76" s="2"/>
      <c r="AC76" s="2"/>
      <c r="AD76" s="2"/>
      <c r="AE76" s="2"/>
    </row>
    <row r="77" spans="1:31"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1"/>
      <c r="V77" s="2"/>
      <c r="W77" s="1"/>
      <c r="X77" s="1"/>
      <c r="Y77" s="1"/>
      <c r="Z77" s="1"/>
      <c r="AA77" s="1"/>
      <c r="AB77" s="2"/>
      <c r="AC77" s="2"/>
      <c r="AD77" s="2"/>
      <c r="AE77" s="2"/>
    </row>
    <row r="78" spans="1:31" x14ac:dyDescent="0.25">
      <c r="A78" s="1" t="str">
        <f>IF(receta!A78="","",receta!A78)</f>
        <v>London Mule</v>
      </c>
      <c r="B78" s="2">
        <v>1</v>
      </c>
      <c r="C78" s="2"/>
      <c r="D78" s="2"/>
      <c r="E78" s="2"/>
      <c r="F78" s="2"/>
      <c r="G78" s="2"/>
      <c r="H78" s="2"/>
      <c r="I78" s="2"/>
      <c r="J78" s="2"/>
      <c r="K78" s="2"/>
      <c r="L78" s="2"/>
      <c r="M78" s="2"/>
      <c r="N78" s="2"/>
      <c r="O78" s="2"/>
      <c r="P78" s="2"/>
      <c r="Q78" s="2"/>
      <c r="R78" s="2"/>
      <c r="S78" s="2">
        <v>1</v>
      </c>
      <c r="T78" s="2"/>
      <c r="U78" s="2"/>
      <c r="V78" s="2"/>
      <c r="W78" s="2"/>
      <c r="X78" s="2"/>
      <c r="Y78" s="2"/>
      <c r="Z78" s="2"/>
      <c r="AA78" s="2"/>
      <c r="AB78" s="2"/>
      <c r="AC78" s="2"/>
      <c r="AD78" s="2"/>
      <c r="AE78" s="2"/>
    </row>
    <row r="79" spans="1:31" s="11" customFormat="1" x14ac:dyDescent="0.25">
      <c r="A79" s="1" t="str">
        <f>IF(receta!A79="","",receta!A79)</f>
        <v>Luisito</v>
      </c>
      <c r="B79" s="2"/>
      <c r="C79" s="2">
        <v>1</v>
      </c>
      <c r="D79" s="2"/>
      <c r="E79" s="2"/>
      <c r="F79" s="2"/>
      <c r="G79" s="2"/>
      <c r="H79" s="2"/>
      <c r="I79" s="2"/>
      <c r="J79" s="2"/>
      <c r="K79" s="2"/>
      <c r="L79" s="2"/>
      <c r="M79" s="2"/>
      <c r="N79" s="2"/>
      <c r="O79" s="2"/>
      <c r="P79" s="2"/>
      <c r="Q79" s="2"/>
      <c r="R79" s="2"/>
      <c r="S79" s="2">
        <v>1</v>
      </c>
      <c r="T79" s="2"/>
      <c r="U79" s="2"/>
      <c r="V79" s="2"/>
      <c r="W79" s="2"/>
      <c r="X79" s="2"/>
      <c r="Y79" s="2"/>
      <c r="Z79" s="2"/>
      <c r="AA79" s="2"/>
      <c r="AB79" s="2"/>
      <c r="AC79" s="2"/>
      <c r="AD79" s="2"/>
      <c r="AE79" s="2"/>
    </row>
    <row r="80" spans="1:31" x14ac:dyDescent="0.25">
      <c r="A80" s="1" t="str">
        <f>IF(receta!A80="","",receta!A80)</f>
        <v>Luisito (Sin Alcohol)</v>
      </c>
      <c r="B80" s="1"/>
      <c r="C80" s="1">
        <v>1</v>
      </c>
      <c r="D80" s="1"/>
      <c r="E80" s="1"/>
      <c r="F80" s="1"/>
      <c r="G80" s="1"/>
      <c r="H80" s="1"/>
      <c r="I80" s="1"/>
      <c r="J80" s="2"/>
      <c r="K80" s="1"/>
      <c r="L80" s="1"/>
      <c r="M80" s="1"/>
      <c r="N80" s="1"/>
      <c r="O80" s="1"/>
      <c r="P80" s="1"/>
      <c r="Q80" s="1"/>
      <c r="R80" s="1"/>
      <c r="S80" s="1">
        <v>1</v>
      </c>
      <c r="T80" s="1"/>
      <c r="U80" s="1"/>
      <c r="V80" s="2"/>
      <c r="W80" s="1"/>
      <c r="X80" s="1"/>
      <c r="Y80" s="1"/>
      <c r="Z80" s="1"/>
      <c r="AA80" s="1"/>
      <c r="AB80" s="2"/>
      <c r="AC80" s="2"/>
      <c r="AD80" s="2"/>
      <c r="AE80" s="2"/>
    </row>
    <row r="81" spans="1:31"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x14ac:dyDescent="0.25">
      <c r="A82" s="1" t="str">
        <f>IF(receta!A82="","",receta!A82)</f>
        <v>Mai Tai Piña</v>
      </c>
      <c r="B82" s="2"/>
      <c r="C82" s="2"/>
      <c r="D82" s="2"/>
      <c r="E82" s="2">
        <v>1</v>
      </c>
      <c r="F82" s="2"/>
      <c r="G82" s="2"/>
      <c r="H82" s="2"/>
      <c r="I82" s="2"/>
      <c r="J82" s="2"/>
      <c r="K82" s="2"/>
      <c r="L82" s="2"/>
      <c r="M82" s="2"/>
      <c r="N82" s="2"/>
      <c r="O82" s="2"/>
      <c r="P82" s="2">
        <v>1</v>
      </c>
      <c r="Q82" s="2"/>
      <c r="R82" s="2"/>
      <c r="S82" s="2"/>
      <c r="T82" s="2"/>
      <c r="U82" s="2"/>
      <c r="V82" s="2"/>
      <c r="W82" s="2"/>
      <c r="X82" s="2"/>
      <c r="Y82" s="2"/>
      <c r="Z82" s="2"/>
      <c r="AA82" s="2"/>
      <c r="AB82" s="2"/>
      <c r="AC82" s="2"/>
      <c r="AD82" s="2"/>
      <c r="AE82" s="2"/>
    </row>
    <row r="83" spans="1:31"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1"/>
      <c r="V83" s="2"/>
      <c r="W83" s="1"/>
      <c r="X83" s="1"/>
      <c r="Y83" s="1"/>
      <c r="Z83" s="1"/>
      <c r="AA83" s="1"/>
      <c r="AB83" s="2"/>
      <c r="AC83" s="2"/>
      <c r="AD83" s="2"/>
      <c r="AE83" s="2"/>
    </row>
    <row r="84" spans="1:31" x14ac:dyDescent="0.25">
      <c r="A84" s="1" t="str">
        <f>IF(receta!A84="","",receta!A84)</f>
        <v>Malta con Huevo</v>
      </c>
      <c r="B84" s="1"/>
      <c r="C84" s="1"/>
      <c r="D84" s="1"/>
      <c r="E84" s="1"/>
      <c r="F84" s="1"/>
      <c r="G84" s="1"/>
      <c r="H84" s="1"/>
      <c r="I84" s="1"/>
      <c r="J84" s="2"/>
      <c r="K84" s="1"/>
      <c r="L84" s="1"/>
      <c r="M84" s="1"/>
      <c r="N84" s="1"/>
      <c r="O84" s="1"/>
      <c r="P84" s="1"/>
      <c r="Q84" s="1"/>
      <c r="R84" s="1"/>
      <c r="S84" s="1"/>
      <c r="T84" s="1"/>
      <c r="U84" s="1"/>
      <c r="V84" s="2"/>
      <c r="W84" s="1"/>
      <c r="X84" s="1"/>
      <c r="Y84" s="1"/>
      <c r="Z84" s="1"/>
      <c r="AA84" s="1"/>
      <c r="AB84" s="2"/>
      <c r="AC84" s="2"/>
      <c r="AD84" s="2"/>
      <c r="AE84" s="2"/>
    </row>
    <row r="85" spans="1:31"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1"/>
      <c r="V85" s="2"/>
      <c r="W85" s="1"/>
      <c r="X85" s="1"/>
      <c r="Y85" s="1"/>
      <c r="Z85" s="1"/>
      <c r="AA85" s="1"/>
      <c r="AB85" s="2"/>
      <c r="AC85" s="2"/>
      <c r="AD85" s="2"/>
      <c r="AE85" s="2"/>
    </row>
    <row r="86" spans="1:31"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x14ac:dyDescent="0.25">
      <c r="A88" s="1" t="str">
        <f>IF(receta!A88="","",receta!A88)</f>
        <v>Maqui Sour</v>
      </c>
      <c r="B88" s="1"/>
      <c r="C88" s="1"/>
      <c r="D88" s="1"/>
      <c r="E88" s="1"/>
      <c r="F88" s="1"/>
      <c r="G88" s="1"/>
      <c r="H88" s="1"/>
      <c r="I88" s="1"/>
      <c r="J88" s="2"/>
      <c r="K88" s="1"/>
      <c r="L88" s="1"/>
      <c r="M88" s="1"/>
      <c r="N88" s="1"/>
      <c r="O88" s="1"/>
      <c r="P88" s="1"/>
      <c r="Q88" s="1"/>
      <c r="R88" s="1"/>
      <c r="S88" s="1"/>
      <c r="T88" s="1"/>
      <c r="U88" s="1"/>
      <c r="V88" s="2"/>
      <c r="W88" s="1"/>
      <c r="X88" s="1"/>
      <c r="Y88" s="1"/>
      <c r="Z88" s="1"/>
      <c r="AA88" s="1"/>
      <c r="AB88" s="2"/>
      <c r="AC88" s="2"/>
      <c r="AD88" s="2"/>
      <c r="AE88" s="2"/>
    </row>
    <row r="89" spans="1:31"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x14ac:dyDescent="0.25">
      <c r="A91" s="1" t="str">
        <f>IF(receta!A91="","",receta!A91)</f>
        <v>Melón con Vino</v>
      </c>
      <c r="B91" s="1"/>
      <c r="C91" s="1"/>
      <c r="D91" s="1"/>
      <c r="E91" s="1"/>
      <c r="F91" s="1"/>
      <c r="G91" s="1"/>
      <c r="H91" s="1"/>
      <c r="I91" s="1"/>
      <c r="J91" s="2"/>
      <c r="K91" s="1"/>
      <c r="L91" s="1"/>
      <c r="M91" s="1"/>
      <c r="N91" s="1"/>
      <c r="O91" s="1"/>
      <c r="P91" s="1"/>
      <c r="Q91" s="1"/>
      <c r="R91" s="1"/>
      <c r="S91" s="1"/>
      <c r="T91" s="1"/>
      <c r="U91" s="1"/>
      <c r="V91" s="2"/>
      <c r="W91" s="1"/>
      <c r="X91" s="1"/>
      <c r="Y91" s="1"/>
      <c r="Z91" s="1"/>
      <c r="AA91" s="1"/>
      <c r="AB91" s="2"/>
      <c r="AC91" s="2"/>
      <c r="AD91" s="2"/>
      <c r="AE91" s="2"/>
    </row>
    <row r="92" spans="1:31"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x14ac:dyDescent="0.25">
      <c r="A93" s="1" t="str">
        <f>IF(receta!A93="","",receta!A93)</f>
        <v>Milano Torino</v>
      </c>
      <c r="B93" s="1"/>
      <c r="C93" s="1">
        <v>1</v>
      </c>
      <c r="D93" s="1"/>
      <c r="E93" s="1"/>
      <c r="F93" s="1"/>
      <c r="G93" s="1"/>
      <c r="H93" s="1"/>
      <c r="I93" s="1"/>
      <c r="J93" s="2"/>
      <c r="K93" s="1"/>
      <c r="L93" s="1"/>
      <c r="M93" s="1"/>
      <c r="N93" s="1"/>
      <c r="O93" s="1"/>
      <c r="P93" s="1"/>
      <c r="Q93" s="1"/>
      <c r="R93" s="1"/>
      <c r="S93" s="1"/>
      <c r="T93" s="1"/>
      <c r="U93" s="1"/>
      <c r="V93" s="2"/>
      <c r="W93" s="1"/>
      <c r="X93" s="1"/>
      <c r="Y93" s="1"/>
      <c r="Z93" s="1"/>
      <c r="AA93" s="1"/>
      <c r="AB93" s="2"/>
      <c r="AC93" s="2"/>
      <c r="AD93" s="2"/>
      <c r="AE93" s="2"/>
    </row>
    <row r="94" spans="1:31" x14ac:dyDescent="0.25">
      <c r="A94" s="1" t="str">
        <f>IF(receta!A94="","",receta!A94)</f>
        <v>Mimosa</v>
      </c>
      <c r="B94" s="1"/>
      <c r="C94" s="1"/>
      <c r="D94" s="1"/>
      <c r="E94" s="1"/>
      <c r="F94" s="1"/>
      <c r="G94" s="1"/>
      <c r="H94" s="1"/>
      <c r="I94" s="1"/>
      <c r="J94" s="2"/>
      <c r="K94" s="1"/>
      <c r="L94" s="1"/>
      <c r="M94" s="1"/>
      <c r="N94" s="1"/>
      <c r="O94" s="1"/>
      <c r="P94" s="1"/>
      <c r="Q94" s="1"/>
      <c r="R94" s="1"/>
      <c r="S94" s="1"/>
      <c r="T94" s="1"/>
      <c r="U94" s="1"/>
      <c r="V94" s="2"/>
      <c r="W94" s="1"/>
      <c r="X94" s="1"/>
      <c r="Y94" s="1"/>
      <c r="Z94" s="1"/>
      <c r="AA94" s="1"/>
      <c r="AB94" s="2"/>
      <c r="AC94" s="2"/>
      <c r="AD94" s="2"/>
      <c r="AE94" s="2"/>
    </row>
    <row r="95" spans="1:31" x14ac:dyDescent="0.25">
      <c r="A95" s="1" t="str">
        <f>IF(receta!A95="","",receta!A95)</f>
        <v>Mojito</v>
      </c>
      <c r="B95" s="2">
        <v>1</v>
      </c>
      <c r="C95" s="2"/>
      <c r="D95" s="2"/>
      <c r="E95" s="2"/>
      <c r="F95" s="2"/>
      <c r="G95" s="2"/>
      <c r="H95" s="2"/>
      <c r="I95" s="2"/>
      <c r="J95" s="2"/>
      <c r="K95" s="2"/>
      <c r="L95" s="2"/>
      <c r="M95" s="2"/>
      <c r="N95" s="2"/>
      <c r="O95" s="2"/>
      <c r="P95" s="2"/>
      <c r="Q95" s="2"/>
      <c r="R95" s="2"/>
      <c r="S95" s="2">
        <v>1</v>
      </c>
      <c r="T95" s="2"/>
      <c r="U95" s="2"/>
      <c r="V95" s="2"/>
      <c r="W95" s="2"/>
      <c r="X95" s="2"/>
      <c r="Y95" s="2"/>
      <c r="Z95" s="2"/>
      <c r="AA95" s="2"/>
      <c r="AB95" s="2"/>
      <c r="AC95" s="2"/>
      <c r="AD95" s="2"/>
      <c r="AE95" s="2"/>
    </row>
    <row r="96" spans="1:31" x14ac:dyDescent="0.25">
      <c r="A96" s="1" t="str">
        <f>IF(receta!A96="","",receta!A96)</f>
        <v>Mojito (Sin Alcohol)</v>
      </c>
      <c r="B96" s="2">
        <v>1</v>
      </c>
      <c r="C96" s="2"/>
      <c r="D96" s="2"/>
      <c r="E96" s="2"/>
      <c r="F96" s="2"/>
      <c r="G96" s="2"/>
      <c r="H96" s="2"/>
      <c r="I96" s="2"/>
      <c r="J96" s="2"/>
      <c r="K96" s="2"/>
      <c r="L96" s="2"/>
      <c r="M96" s="2"/>
      <c r="N96" s="2"/>
      <c r="O96" s="2"/>
      <c r="P96" s="2"/>
      <c r="Q96" s="2"/>
      <c r="R96" s="2"/>
      <c r="S96" s="2">
        <v>1</v>
      </c>
      <c r="T96" s="2"/>
      <c r="U96" s="2"/>
      <c r="V96" s="2"/>
      <c r="W96" s="2"/>
      <c r="X96" s="2"/>
      <c r="Y96" s="2"/>
      <c r="Z96" s="2"/>
      <c r="AA96" s="2"/>
      <c r="AB96" s="2"/>
      <c r="AC96" s="2"/>
      <c r="AD96" s="2"/>
      <c r="AE96" s="2"/>
    </row>
    <row r="97" spans="1:31" x14ac:dyDescent="0.25">
      <c r="A97" s="1" t="str">
        <f>IF(receta!A97="","",receta!A97)</f>
        <v>Mojito Maracuyá</v>
      </c>
      <c r="B97" s="2">
        <v>1</v>
      </c>
      <c r="C97" s="2"/>
      <c r="D97" s="2"/>
      <c r="E97" s="2"/>
      <c r="F97" s="2"/>
      <c r="G97" s="2"/>
      <c r="H97" s="2"/>
      <c r="I97" s="2"/>
      <c r="J97" s="2"/>
      <c r="K97" s="2"/>
      <c r="L97" s="2"/>
      <c r="M97" s="2"/>
      <c r="N97" s="2"/>
      <c r="O97" s="2"/>
      <c r="P97" s="2"/>
      <c r="Q97" s="2"/>
      <c r="R97" s="2"/>
      <c r="S97" s="2">
        <v>1</v>
      </c>
      <c r="T97" s="2"/>
      <c r="U97" s="2"/>
      <c r="V97" s="2"/>
      <c r="W97" s="2"/>
      <c r="X97" s="2"/>
      <c r="Y97" s="2"/>
      <c r="Z97" s="2"/>
      <c r="AA97" s="2"/>
      <c r="AB97" s="2"/>
      <c r="AC97" s="2"/>
      <c r="AD97" s="2"/>
      <c r="AE97" s="2"/>
    </row>
    <row r="98" spans="1:31" x14ac:dyDescent="0.25">
      <c r="A98" s="1" t="str">
        <f>IF(receta!A98="","",receta!A98)</f>
        <v>Mojito Spritz</v>
      </c>
      <c r="B98" s="2">
        <v>1</v>
      </c>
      <c r="C98" s="2"/>
      <c r="D98" s="2"/>
      <c r="E98" s="2"/>
      <c r="F98" s="2"/>
      <c r="G98" s="2"/>
      <c r="H98" s="2"/>
      <c r="I98" s="2"/>
      <c r="J98" s="2"/>
      <c r="K98" s="2"/>
      <c r="L98" s="2"/>
      <c r="M98" s="2"/>
      <c r="N98" s="2"/>
      <c r="O98" s="2"/>
      <c r="P98" s="2"/>
      <c r="Q98" s="2"/>
      <c r="R98" s="2"/>
      <c r="S98" s="2">
        <v>1</v>
      </c>
      <c r="T98" s="2"/>
      <c r="U98" s="2"/>
      <c r="V98" s="2"/>
      <c r="W98" s="2"/>
      <c r="X98" s="2"/>
      <c r="Y98" s="2"/>
      <c r="Z98" s="2"/>
      <c r="AA98" s="2"/>
      <c r="AB98" s="2"/>
      <c r="AC98" s="2"/>
      <c r="AD98" s="2"/>
      <c r="AE98" s="2"/>
    </row>
    <row r="99" spans="1:31" x14ac:dyDescent="0.25">
      <c r="A99" s="1" t="str">
        <f>IF(receta!A99="","",receta!A99)</f>
        <v>Moscow Mule</v>
      </c>
      <c r="B99" s="2">
        <v>1</v>
      </c>
      <c r="C99" s="2"/>
      <c r="D99" s="2"/>
      <c r="E99" s="2"/>
      <c r="F99" s="2"/>
      <c r="G99" s="2"/>
      <c r="H99" s="2"/>
      <c r="I99" s="2"/>
      <c r="J99" s="2"/>
      <c r="K99" s="2"/>
      <c r="L99" s="2"/>
      <c r="M99" s="2"/>
      <c r="N99" s="2"/>
      <c r="O99" s="2"/>
      <c r="P99" s="2"/>
      <c r="Q99" s="2"/>
      <c r="R99" s="2"/>
      <c r="S99" s="2">
        <v>1</v>
      </c>
      <c r="T99" s="2"/>
      <c r="U99" s="2"/>
      <c r="V99" s="2"/>
      <c r="W99" s="2"/>
      <c r="X99" s="2"/>
      <c r="Y99" s="2"/>
      <c r="Z99" s="2"/>
      <c r="AA99" s="2"/>
      <c r="AB99" s="2"/>
      <c r="AC99" s="2"/>
      <c r="AD99" s="2"/>
      <c r="AE99" s="2"/>
    </row>
    <row r="100" spans="1:31"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1"/>
      <c r="V101" s="2"/>
      <c r="W101" s="1"/>
      <c r="X101" s="1"/>
      <c r="Y101" s="1"/>
      <c r="Z101" s="1"/>
      <c r="AA101" s="1"/>
      <c r="AB101" s="2"/>
      <c r="AC101" s="2"/>
      <c r="AD101" s="2"/>
      <c r="AE101" s="2"/>
    </row>
    <row r="102" spans="1:31"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1"/>
      <c r="V104" s="2"/>
      <c r="W104" s="1"/>
      <c r="X104" s="1"/>
      <c r="Y104" s="1"/>
      <c r="Z104" s="1"/>
      <c r="AA104" s="1"/>
      <c r="AB104" s="2"/>
      <c r="AC104" s="2"/>
      <c r="AD104" s="2"/>
      <c r="AE104" s="2"/>
    </row>
    <row r="105" spans="1:31"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1"/>
      <c r="V105" s="2"/>
      <c r="W105" s="1"/>
      <c r="X105" s="1"/>
      <c r="Y105" s="1"/>
      <c r="Z105" s="1"/>
      <c r="AA105" s="1"/>
      <c r="AB105" s="2"/>
      <c r="AC105" s="2"/>
      <c r="AD105" s="2"/>
      <c r="AE105" s="2"/>
    </row>
    <row r="106" spans="1:31"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1"/>
      <c r="V106" s="2"/>
      <c r="W106" s="1"/>
      <c r="X106" s="1"/>
      <c r="Y106" s="1"/>
      <c r="Z106" s="1"/>
      <c r="AA106" s="1"/>
      <c r="AB106" s="2"/>
      <c r="AC106" s="2"/>
      <c r="AD106" s="2"/>
      <c r="AE106" s="2"/>
    </row>
    <row r="107" spans="1:31"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1"/>
      <c r="V108" s="2"/>
      <c r="W108" s="1"/>
      <c r="X108" s="1"/>
      <c r="Y108" s="1"/>
      <c r="Z108" s="1"/>
      <c r="AA108" s="1"/>
      <c r="AB108" s="2"/>
      <c r="AC108" s="2"/>
      <c r="AD108" s="2"/>
      <c r="AE108" s="2"/>
    </row>
    <row r="109" spans="1:31"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c r="T109" s="2">
        <v>1</v>
      </c>
      <c r="U109" s="2"/>
      <c r="V109" s="2"/>
      <c r="W109" s="2"/>
      <c r="X109" s="2"/>
      <c r="Y109" s="2"/>
      <c r="Z109" s="2"/>
      <c r="AA109" s="2"/>
      <c r="AB109" s="2"/>
      <c r="AC109" s="2"/>
      <c r="AD109" s="2"/>
      <c r="AE109" s="2"/>
    </row>
    <row r="110" spans="1:31"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1"/>
      <c r="V110" s="2"/>
      <c r="W110" s="1"/>
      <c r="X110" s="1"/>
      <c r="Y110" s="1"/>
      <c r="Z110" s="1"/>
      <c r="AA110" s="1">
        <v>1</v>
      </c>
      <c r="AB110" s="2"/>
      <c r="AC110" s="2"/>
      <c r="AD110" s="2"/>
      <c r="AE110" s="2"/>
    </row>
    <row r="111" spans="1:31"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1"/>
      <c r="V111" s="2"/>
      <c r="W111" s="1"/>
      <c r="X111" s="1"/>
      <c r="Y111" s="1"/>
      <c r="Z111" s="1"/>
      <c r="AA111" s="1"/>
      <c r="AB111" s="2"/>
      <c r="AC111" s="2"/>
      <c r="AD111" s="2"/>
      <c r="AE111" s="2"/>
    </row>
    <row r="112" spans="1:31"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x14ac:dyDescent="0.25">
      <c r="A113" s="1" t="str">
        <f>IF(receta!A113="","",receta!A113)</f>
        <v>Piña Colada</v>
      </c>
      <c r="B113" s="1"/>
      <c r="C113" s="1"/>
      <c r="D113" s="1"/>
      <c r="E113" s="1">
        <v>1</v>
      </c>
      <c r="F113" s="1"/>
      <c r="G113" s="1"/>
      <c r="H113" s="1"/>
      <c r="I113" s="1"/>
      <c r="J113" s="2"/>
      <c r="K113" s="1"/>
      <c r="L113" s="1"/>
      <c r="M113" s="1"/>
      <c r="N113" s="1"/>
      <c r="O113" s="1"/>
      <c r="P113" s="1">
        <v>1</v>
      </c>
      <c r="Q113" s="1"/>
      <c r="R113" s="1"/>
      <c r="S113" s="1"/>
      <c r="T113" s="1"/>
      <c r="U113" s="1"/>
      <c r="V113" s="2"/>
      <c r="W113" s="1"/>
      <c r="X113" s="1"/>
      <c r="Y113" s="1"/>
      <c r="Z113" s="1"/>
      <c r="AA113" s="1"/>
      <c r="AB113" s="2"/>
      <c r="AC113" s="2"/>
      <c r="AD113" s="2"/>
      <c r="AE113" s="2"/>
    </row>
    <row r="114" spans="1:31" x14ac:dyDescent="0.25">
      <c r="A114" s="1" t="str">
        <f>IF(receta!A114="","",receta!A114)</f>
        <v>Piña Colada (Sin Alcohol)</v>
      </c>
      <c r="B114" s="1"/>
      <c r="C114" s="1"/>
      <c r="D114" s="1"/>
      <c r="E114" s="1">
        <v>1</v>
      </c>
      <c r="F114" s="1"/>
      <c r="G114" s="1"/>
      <c r="H114" s="1"/>
      <c r="I114" s="1"/>
      <c r="J114" s="2"/>
      <c r="K114" s="1"/>
      <c r="L114" s="1"/>
      <c r="M114" s="1"/>
      <c r="N114" s="1"/>
      <c r="O114" s="1"/>
      <c r="P114" s="1">
        <v>1</v>
      </c>
      <c r="Q114" s="1"/>
      <c r="R114" s="1"/>
      <c r="S114" s="1"/>
      <c r="T114" s="1"/>
      <c r="U114" s="1"/>
      <c r="V114" s="2"/>
      <c r="W114" s="1"/>
      <c r="X114" s="1"/>
      <c r="Y114" s="1"/>
      <c r="Z114" s="1"/>
      <c r="AA114" s="1"/>
      <c r="AB114" s="2"/>
      <c r="AC114" s="2"/>
      <c r="AD114" s="2"/>
      <c r="AE114" s="2"/>
    </row>
    <row r="115" spans="1:31" x14ac:dyDescent="0.25">
      <c r="A115" s="1" t="str">
        <f>IF(receta!A115="","",receta!A115)</f>
        <v>Pisco Punch</v>
      </c>
      <c r="B115" s="2"/>
      <c r="C115" s="2"/>
      <c r="D115" s="2"/>
      <c r="E115" s="2"/>
      <c r="F115" s="2"/>
      <c r="G115" s="2"/>
      <c r="H115" s="2"/>
      <c r="I115" s="2"/>
      <c r="J115" s="2"/>
      <c r="K115" s="2"/>
      <c r="L115" s="2"/>
      <c r="M115" s="2"/>
      <c r="N115" s="2"/>
      <c r="O115" s="2"/>
      <c r="P115" s="2">
        <v>1</v>
      </c>
      <c r="Q115" s="2"/>
      <c r="R115" s="2"/>
      <c r="S115" s="2"/>
      <c r="T115" s="2">
        <v>1</v>
      </c>
      <c r="U115" s="2"/>
      <c r="V115" s="2"/>
      <c r="W115" s="2"/>
      <c r="X115" s="2"/>
      <c r="Y115" s="2"/>
      <c r="Z115" s="2"/>
      <c r="AA115" s="2"/>
      <c r="AB115" s="2"/>
      <c r="AC115" s="2"/>
      <c r="AD115" s="2"/>
      <c r="AE115" s="2"/>
    </row>
    <row r="116" spans="1:31"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1"/>
      <c r="V118" s="2"/>
      <c r="W118" s="1"/>
      <c r="X118" s="1"/>
      <c r="Y118" s="1"/>
      <c r="Z118" s="1"/>
      <c r="AA118" s="1"/>
      <c r="AB118" s="2"/>
      <c r="AC118" s="2"/>
      <c r="AD118" s="2"/>
      <c r="AE118" s="2"/>
    </row>
    <row r="119" spans="1:31"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1"/>
      <c r="V119" s="2"/>
      <c r="W119" s="1"/>
      <c r="X119" s="1"/>
      <c r="Y119" s="1"/>
      <c r="Z119" s="1"/>
      <c r="AA119" s="1"/>
      <c r="AB119" s="2"/>
      <c r="AC119" s="2"/>
      <c r="AD119" s="2"/>
      <c r="AE119" s="2"/>
    </row>
    <row r="120" spans="1:31"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c r="T120" s="2">
        <v>1</v>
      </c>
      <c r="U120" s="2"/>
      <c r="V120" s="2"/>
      <c r="W120" s="2"/>
      <c r="X120" s="2"/>
      <c r="Y120" s="2"/>
      <c r="Z120" s="2"/>
      <c r="AA120" s="2"/>
      <c r="AB120" s="2"/>
      <c r="AC120" s="2"/>
      <c r="AD120" s="2"/>
      <c r="AE120" s="2"/>
    </row>
    <row r="121" spans="1:31"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c r="X121" s="2">
        <v>1</v>
      </c>
      <c r="Y121" s="2"/>
      <c r="Z121" s="2"/>
      <c r="AA121" s="2"/>
      <c r="AB121" s="2"/>
      <c r="AC121" s="2"/>
      <c r="AD121" s="2"/>
      <c r="AE121" s="2"/>
    </row>
    <row r="122" spans="1:31"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1"/>
      <c r="V122" s="2"/>
      <c r="W122" s="1"/>
      <c r="X122" s="1"/>
      <c r="Y122" s="1"/>
      <c r="Z122" s="1"/>
      <c r="AA122" s="1"/>
      <c r="AB122" s="2"/>
      <c r="AC122" s="2"/>
      <c r="AD122" s="2"/>
      <c r="AE122" s="2"/>
    </row>
    <row r="123" spans="1:31"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1"/>
      <c r="V123" s="2"/>
      <c r="W123" s="1"/>
      <c r="X123" s="1"/>
      <c r="Y123" s="1"/>
      <c r="Z123" s="1">
        <v>1</v>
      </c>
      <c r="AA123" s="1"/>
      <c r="AB123" s="2"/>
      <c r="AC123" s="2"/>
      <c r="AD123" s="2"/>
      <c r="AE123" s="2"/>
    </row>
    <row r="124" spans="1:31"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1"/>
      <c r="V124" s="2"/>
      <c r="W124" s="1"/>
      <c r="X124" s="1"/>
      <c r="Y124" s="1"/>
      <c r="Z124" s="1"/>
      <c r="AA124" s="1"/>
      <c r="AB124" s="2"/>
      <c r="AC124" s="2"/>
      <c r="AD124" s="2"/>
      <c r="AE124" s="2"/>
    </row>
    <row r="125" spans="1:31"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1"/>
      <c r="V125" s="2"/>
      <c r="W125" s="1"/>
      <c r="X125" s="1"/>
      <c r="Y125" s="1"/>
      <c r="Z125" s="1"/>
      <c r="AA125" s="1"/>
      <c r="AB125" s="2"/>
      <c r="AC125" s="2"/>
      <c r="AD125" s="2"/>
      <c r="AE125" s="2"/>
    </row>
    <row r="126" spans="1:31"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1"/>
      <c r="V126" s="2"/>
      <c r="W126" s="1"/>
      <c r="X126" s="1"/>
      <c r="Y126" s="1"/>
      <c r="Z126" s="1"/>
      <c r="AA126" s="1"/>
      <c r="AB126" s="2"/>
      <c r="AC126" s="2"/>
      <c r="AD126" s="2"/>
      <c r="AE126" s="2"/>
    </row>
    <row r="127" spans="1:31"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1"/>
      <c r="V129" s="2"/>
      <c r="W129" s="1"/>
      <c r="X129" s="1"/>
      <c r="Y129" s="1"/>
      <c r="Z129" s="1"/>
      <c r="AA129" s="1"/>
      <c r="AB129" s="2"/>
      <c r="AC129" s="2"/>
      <c r="AD129" s="2"/>
      <c r="AE129" s="2"/>
    </row>
    <row r="130" spans="1:31"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1"/>
      <c r="V130" s="2"/>
      <c r="W130" s="1"/>
      <c r="X130" s="1"/>
      <c r="Y130" s="1"/>
      <c r="Z130" s="1"/>
      <c r="AA130" s="1"/>
      <c r="AB130" s="2"/>
      <c r="AC130" s="2"/>
      <c r="AD130" s="2"/>
      <c r="AE130" s="2"/>
    </row>
    <row r="131" spans="1:31"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1"/>
      <c r="V131" s="2"/>
      <c r="W131" s="1"/>
      <c r="X131" s="1"/>
      <c r="Y131" s="1"/>
      <c r="Z131" s="1"/>
      <c r="AA131" s="1"/>
      <c r="AB131" s="2"/>
      <c r="AC131" s="2"/>
      <c r="AD131" s="2"/>
      <c r="AE131" s="2"/>
    </row>
    <row r="132" spans="1:31"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1"/>
      <c r="V133" s="2"/>
      <c r="W133" s="1"/>
      <c r="X133" s="1"/>
      <c r="Y133" s="1"/>
      <c r="Z133" s="1"/>
      <c r="AA133" s="1"/>
      <c r="AB133" s="2"/>
      <c r="AC133" s="2"/>
      <c r="AD133" s="2"/>
      <c r="AE133" s="2"/>
    </row>
    <row r="134" spans="1:31"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1"/>
      <c r="V135" s="2"/>
      <c r="W135" s="1"/>
      <c r="X135" s="1"/>
      <c r="Y135" s="1"/>
      <c r="Z135" s="1"/>
      <c r="AA135" s="1"/>
      <c r="AB135" s="2"/>
      <c r="AC135" s="2"/>
      <c r="AD135" s="2"/>
      <c r="AE135" s="2"/>
    </row>
    <row r="136" spans="1:31"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1"/>
      <c r="V136" s="2"/>
      <c r="W136" s="1"/>
      <c r="X136" s="1"/>
      <c r="Y136" s="1"/>
      <c r="Z136" s="1"/>
      <c r="AA136" s="1"/>
      <c r="AB136" s="2"/>
      <c r="AC136" s="2"/>
      <c r="AD136" s="2"/>
      <c r="AE136" s="2"/>
    </row>
    <row r="137" spans="1:31"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1"/>
      <c r="V137" s="2"/>
      <c r="W137" s="1"/>
      <c r="X137" s="1"/>
      <c r="Y137" s="1"/>
      <c r="Z137" s="1"/>
      <c r="AA137" s="1"/>
      <c r="AB137" s="2"/>
      <c r="AC137" s="2"/>
      <c r="AD137" s="2"/>
      <c r="AE137" s="2"/>
    </row>
    <row r="138" spans="1:31"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x14ac:dyDescent="0.25">
      <c r="A139" s="1" t="str">
        <f>IF(receta!A139="","",receta!A139)</f>
        <v>Trikahue</v>
      </c>
      <c r="B139" s="2"/>
      <c r="C139" s="2">
        <v>1</v>
      </c>
      <c r="D139" s="2"/>
      <c r="E139" s="2"/>
      <c r="F139" s="2"/>
      <c r="G139" s="2"/>
      <c r="H139" s="2"/>
      <c r="I139" s="2"/>
      <c r="J139" s="2"/>
      <c r="K139" s="2"/>
      <c r="L139" s="2"/>
      <c r="M139" s="2"/>
      <c r="N139" s="2">
        <v>1</v>
      </c>
      <c r="O139" s="2"/>
      <c r="P139" s="2"/>
      <c r="Q139" s="2"/>
      <c r="R139" s="2"/>
      <c r="S139" s="2">
        <v>1</v>
      </c>
      <c r="T139" s="2"/>
      <c r="U139" s="2"/>
      <c r="V139" s="2"/>
      <c r="W139" s="2"/>
      <c r="X139" s="2"/>
      <c r="Y139" s="2"/>
      <c r="Z139" s="2"/>
      <c r="AA139" s="2"/>
      <c r="AB139" s="2"/>
      <c r="AC139" s="2"/>
      <c r="AD139" s="2"/>
      <c r="AE139" s="2"/>
    </row>
    <row r="140" spans="1:31"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1"/>
      <c r="V140" s="2"/>
      <c r="W140" s="1"/>
      <c r="X140" s="1"/>
      <c r="Y140" s="1"/>
      <c r="Z140" s="1"/>
      <c r="AA140" s="1"/>
      <c r="AB140" s="2"/>
      <c r="AC140" s="2"/>
      <c r="AD140" s="2"/>
      <c r="AE140" s="2">
        <v>1</v>
      </c>
    </row>
    <row r="141" spans="1:31"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1"/>
      <c r="V141" s="2"/>
      <c r="W141" s="1"/>
      <c r="X141" s="1"/>
      <c r="Y141" s="1"/>
      <c r="Z141" s="1"/>
      <c r="AA141" s="1"/>
      <c r="AB141" s="2"/>
      <c r="AC141" s="2"/>
      <c r="AD141" s="2"/>
      <c r="AE141" s="2"/>
    </row>
    <row r="142" spans="1:31" x14ac:dyDescent="0.25">
      <c r="A142" s="1" t="str">
        <f>IF(receta!A142="","",receta!A142)</f>
        <v>Valentín</v>
      </c>
      <c r="B142" s="1">
        <v>1</v>
      </c>
      <c r="C142" s="1"/>
      <c r="D142" s="1"/>
      <c r="E142" s="1"/>
      <c r="F142" s="1"/>
      <c r="G142" s="1"/>
      <c r="H142" s="1"/>
      <c r="I142" s="1"/>
      <c r="J142" s="2"/>
      <c r="K142" s="1"/>
      <c r="L142" s="1"/>
      <c r="M142" s="1"/>
      <c r="N142" s="1"/>
      <c r="O142" s="1"/>
      <c r="P142" s="1"/>
      <c r="Q142" s="1"/>
      <c r="R142" s="1"/>
      <c r="S142" s="1"/>
      <c r="T142" s="1">
        <v>1</v>
      </c>
      <c r="U142" s="1"/>
      <c r="V142" s="2"/>
      <c r="W142" s="1"/>
      <c r="X142" s="1"/>
      <c r="Y142" s="1"/>
      <c r="Z142" s="1"/>
      <c r="AA142" s="1"/>
      <c r="AB142" s="2"/>
      <c r="AC142" s="2"/>
      <c r="AD142" s="2"/>
      <c r="AE142" s="2"/>
    </row>
    <row r="143" spans="1:31"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1"/>
      <c r="V143" s="2"/>
      <c r="W143" s="1"/>
      <c r="X143" s="1"/>
      <c r="Y143" s="1"/>
      <c r="Z143" s="1"/>
      <c r="AA143" s="1"/>
      <c r="AB143" s="2"/>
      <c r="AC143" s="2"/>
      <c r="AD143" s="2"/>
      <c r="AE143" s="2"/>
    </row>
    <row r="144" spans="1:31"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1"/>
      <c r="V144" s="2">
        <v>1</v>
      </c>
      <c r="W144" s="1"/>
      <c r="X144" s="1"/>
      <c r="Y144" s="1"/>
      <c r="Z144" s="1"/>
      <c r="AA144" s="1"/>
      <c r="AB144" s="2"/>
      <c r="AC144" s="2"/>
      <c r="AD144" s="2"/>
      <c r="AE144" s="2">
        <v>1</v>
      </c>
    </row>
    <row r="145" spans="1:31"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1"/>
      <c r="V145" s="2"/>
      <c r="W145" s="1"/>
      <c r="X145" s="1"/>
      <c r="Y145" s="1"/>
      <c r="Z145" s="1"/>
      <c r="AA145" s="1"/>
      <c r="AB145" s="2"/>
      <c r="AC145" s="2"/>
      <c r="AD145" s="2"/>
      <c r="AE145" s="2"/>
    </row>
    <row r="146" spans="1:31"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c r="X146" s="2">
        <v>1</v>
      </c>
      <c r="Y146" s="2"/>
      <c r="Z146" s="2"/>
      <c r="AA146" s="2"/>
      <c r="AB146" s="2"/>
      <c r="AC146" s="2"/>
      <c r="AD146" s="2"/>
      <c r="AE146" s="2"/>
    </row>
    <row r="147" spans="1:31"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1"/>
      <c r="V148" s="2"/>
      <c r="W148" s="1"/>
      <c r="X148" s="1"/>
      <c r="Y148" s="1"/>
      <c r="Z148" s="1"/>
      <c r="AA148" s="1"/>
      <c r="AB148" s="2"/>
      <c r="AC148" s="2"/>
      <c r="AD148" s="2"/>
      <c r="AE148" s="2"/>
    </row>
    <row r="149" spans="1:31"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1"/>
      <c r="V149" s="2"/>
      <c r="W149" s="1"/>
      <c r="X149" s="1"/>
      <c r="Y149" s="1"/>
      <c r="Z149" s="1"/>
      <c r="AA149" s="1"/>
      <c r="AB149" s="2"/>
      <c r="AC149" s="2"/>
      <c r="AD149" s="2"/>
      <c r="AE149" s="2"/>
    </row>
    <row r="150" spans="1:31"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c r="AE151" s="2"/>
    </row>
    <row r="152" spans="1:31"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x14ac:dyDescent="0.25">
      <c r="A153" s="1" t="str">
        <f>IF(receta!A153="","",receta!A153)</f>
        <v>Gin Basil Smash</v>
      </c>
      <c r="B153" s="2"/>
      <c r="C153" s="2"/>
      <c r="D153" s="2"/>
      <c r="E153" s="2"/>
      <c r="F153" s="2"/>
      <c r="G153" s="2"/>
      <c r="H153" s="2"/>
      <c r="I153" s="2"/>
      <c r="J153" s="2"/>
      <c r="K153" s="2"/>
      <c r="L153" s="2"/>
      <c r="M153" s="2"/>
      <c r="N153" s="2"/>
      <c r="O153" s="2"/>
      <c r="P153" s="2"/>
      <c r="Q153" s="2"/>
      <c r="R153" s="2"/>
      <c r="S153" s="2"/>
      <c r="T153" s="2">
        <v>1</v>
      </c>
      <c r="U153" s="2"/>
      <c r="V153" s="2"/>
      <c r="W153" s="2"/>
      <c r="X153" s="2"/>
      <c r="Y153" s="2"/>
      <c r="Z153" s="2"/>
      <c r="AA153" s="2"/>
      <c r="AB153" s="2"/>
      <c r="AC153" s="2"/>
      <c r="AD153" s="2"/>
      <c r="AE153" s="2"/>
    </row>
    <row r="154" spans="1:31"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c r="AE157" s="2"/>
    </row>
    <row r="158" spans="1:31"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x14ac:dyDescent="0.25">
      <c r="A166" s="1" t="str">
        <f>IF(receta!A166="","",receta!A166)</f>
        <v>Mojito Sandía</v>
      </c>
      <c r="B166" s="2">
        <v>1</v>
      </c>
      <c r="C166" s="2"/>
      <c r="D166" s="2"/>
      <c r="E166" s="2"/>
      <c r="F166" s="2"/>
      <c r="G166" s="2"/>
      <c r="H166" s="2"/>
      <c r="I166" s="2"/>
      <c r="J166" s="2"/>
      <c r="K166" s="2"/>
      <c r="L166" s="2"/>
      <c r="M166" s="2"/>
      <c r="N166" s="2"/>
      <c r="O166" s="2">
        <v>1</v>
      </c>
      <c r="P166" s="2"/>
      <c r="Q166" s="2"/>
      <c r="R166" s="2"/>
      <c r="S166" s="2">
        <v>1</v>
      </c>
      <c r="T166" s="2"/>
      <c r="U166" s="2"/>
      <c r="V166" s="2"/>
      <c r="W166" s="2"/>
      <c r="X166" s="2"/>
      <c r="Y166" s="2"/>
      <c r="Z166" s="2"/>
      <c r="AA166" s="2"/>
      <c r="AB166" s="2"/>
      <c r="AC166" s="2"/>
      <c r="AD166" s="2"/>
      <c r="AE166" s="2"/>
    </row>
    <row r="167" spans="1:31" x14ac:dyDescent="0.25">
      <c r="A167" s="1" t="str">
        <f>IF(receta!A167="","",receta!A167)</f>
        <v>Boulevardier</v>
      </c>
      <c r="B167" s="2"/>
      <c r="C167" s="2">
        <v>1</v>
      </c>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x14ac:dyDescent="0.25">
      <c r="A168" s="1" t="str">
        <f>IF(receta!A168="","",receta!A168)</f>
        <v>Old Pal</v>
      </c>
      <c r="B168" s="2"/>
      <c r="C168" s="2">
        <v>1</v>
      </c>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x14ac:dyDescent="0.25">
      <c r="A169" s="1" t="str">
        <f>IF(receta!A169="","",receta!A169)</f>
        <v>Chardonnay Sour</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x14ac:dyDescent="0.25">
      <c r="A170" s="1" t="str">
        <f>IF(receta!A170="","",receta!A170)</f>
        <v>Carmenere Sour</v>
      </c>
      <c r="B170" s="2">
        <v>1</v>
      </c>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x14ac:dyDescent="0.25">
      <c r="A171" s="1" t="str">
        <f>IF(receta!A171="","",receta!A171)</f>
        <v>Jerez Sour</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sheetData>
  <autoFilter ref="A1:AE250" xr:uid="{B7E6A3B1-EAED-4ECB-AFB5-BA571537CD90}">
    <sortState xmlns:xlrd2="http://schemas.microsoft.com/office/spreadsheetml/2017/richdata2" ref="A2:AE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K250"/>
  <sheetViews>
    <sheetView tabSelected="1" zoomScaleNormal="100" workbookViewId="0">
      <pane ySplit="1" topLeftCell="A171" activePane="bottomLeft" state="frozen"/>
      <selection pane="bottomLeft" activeCell="C171" sqref="C171"/>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62.140625" bestFit="1" customWidth="1"/>
    <col min="8" max="8" width="49.85546875" bestFit="1" customWidth="1"/>
    <col min="9" max="9" width="62.140625" bestFit="1" customWidth="1"/>
    <col min="10" max="10" width="49.85546875" bestFit="1" customWidth="1"/>
    <col min="11" max="11" width="20.7109375" customWidth="1"/>
  </cols>
  <sheetData>
    <row r="1" spans="1:11" s="9" customFormat="1" x14ac:dyDescent="0.25">
      <c r="A1" s="7" t="s">
        <v>72</v>
      </c>
      <c r="B1" s="7" t="s">
        <v>626</v>
      </c>
      <c r="C1" s="7" t="s">
        <v>318</v>
      </c>
      <c r="D1" s="7" t="s">
        <v>155</v>
      </c>
      <c r="E1" s="7" t="s">
        <v>314</v>
      </c>
      <c r="F1" s="7" t="s">
        <v>315</v>
      </c>
      <c r="G1" s="7" t="s">
        <v>316</v>
      </c>
      <c r="H1" s="7" t="s">
        <v>317</v>
      </c>
      <c r="I1" s="7" t="s">
        <v>768</v>
      </c>
      <c r="J1" s="7" t="s">
        <v>769</v>
      </c>
      <c r="K1" s="7" t="s">
        <v>817</v>
      </c>
    </row>
    <row r="2" spans="1:11" ht="270" x14ac:dyDescent="0.25">
      <c r="A2" s="1" t="str">
        <f>IF(receta!A2="","",receta!A2)</f>
        <v>Agua de Valencia</v>
      </c>
      <c r="B2" s="1"/>
      <c r="C2" s="4" t="s">
        <v>362</v>
      </c>
      <c r="D2" s="4" t="s">
        <v>309</v>
      </c>
      <c r="E2" s="1" t="s">
        <v>292</v>
      </c>
      <c r="F2" s="1" t="s">
        <v>291</v>
      </c>
      <c r="G2" s="1"/>
      <c r="H2" s="1"/>
      <c r="I2" s="1"/>
      <c r="J2" s="1"/>
      <c r="K2" s="1"/>
    </row>
    <row r="3" spans="1:11" ht="409.5" x14ac:dyDescent="0.25">
      <c r="A3" s="1" t="str">
        <f>IF(receta!A3="","",receta!A3)</f>
        <v>Alejandra</v>
      </c>
      <c r="B3" s="4" t="s">
        <v>669</v>
      </c>
      <c r="C3" s="4" t="s">
        <v>367</v>
      </c>
      <c r="D3" s="4" t="s">
        <v>235</v>
      </c>
      <c r="E3" s="1"/>
      <c r="F3" s="1"/>
      <c r="G3" s="1"/>
      <c r="H3" s="1"/>
      <c r="I3" s="1"/>
      <c r="J3" s="1"/>
      <c r="K3" s="1"/>
    </row>
    <row r="4" spans="1:11" ht="180" x14ac:dyDescent="0.25">
      <c r="A4" s="1" t="str">
        <f>IF(receta!A4="","",receta!A4)</f>
        <v>Alevosía</v>
      </c>
      <c r="B4" s="1"/>
      <c r="C4" s="1" t="s">
        <v>372</v>
      </c>
      <c r="D4" s="4" t="s">
        <v>437</v>
      </c>
      <c r="E4" s="1" t="s">
        <v>238</v>
      </c>
      <c r="F4" s="5" t="s">
        <v>239</v>
      </c>
      <c r="G4" s="1"/>
      <c r="H4" s="5"/>
      <c r="I4" s="1"/>
      <c r="J4" s="5"/>
      <c r="K4" s="1"/>
    </row>
    <row r="5" spans="1:11" ht="409.5" x14ac:dyDescent="0.25">
      <c r="A5" s="1" t="str">
        <f>IF(receta!A5="","",receta!A5)</f>
        <v>Alexander</v>
      </c>
      <c r="B5" s="4" t="s">
        <v>670</v>
      </c>
      <c r="C5" s="4" t="s">
        <v>450</v>
      </c>
      <c r="D5" s="4" t="s">
        <v>555</v>
      </c>
      <c r="E5" s="4" t="s">
        <v>366</v>
      </c>
      <c r="F5" s="5" t="s">
        <v>365</v>
      </c>
      <c r="G5" s="1"/>
      <c r="H5" s="1"/>
      <c r="I5" s="4"/>
      <c r="J5" s="5"/>
      <c r="K5" s="1"/>
    </row>
    <row r="6" spans="1:11" ht="270" x14ac:dyDescent="0.25">
      <c r="A6" s="1" t="str">
        <f>IF(receta!A6="","",receta!A6)</f>
        <v>Amaretto Sour</v>
      </c>
      <c r="B6" s="4" t="s">
        <v>731</v>
      </c>
      <c r="C6" s="4" t="s">
        <v>353</v>
      </c>
      <c r="D6" s="1"/>
      <c r="E6" s="1" t="s">
        <v>440</v>
      </c>
      <c r="F6" s="1" t="s">
        <v>439</v>
      </c>
      <c r="G6" s="1"/>
      <c r="H6" s="1"/>
      <c r="I6" s="1"/>
      <c r="J6" s="1"/>
      <c r="K6" s="1"/>
    </row>
    <row r="7" spans="1:11" ht="270" x14ac:dyDescent="0.25">
      <c r="A7" s="1" t="str">
        <f>IF(receta!A7="","",receta!A7)</f>
        <v>Amaretto Spritz</v>
      </c>
      <c r="B7" s="1"/>
      <c r="C7" s="4" t="s">
        <v>353</v>
      </c>
      <c r="D7" s="1"/>
      <c r="E7" s="1" t="s">
        <v>442</v>
      </c>
      <c r="F7" s="1" t="s">
        <v>441</v>
      </c>
      <c r="G7" s="1"/>
      <c r="H7" s="1"/>
      <c r="I7" s="1"/>
      <c r="J7" s="1"/>
      <c r="K7" s="1"/>
    </row>
    <row r="8" spans="1:11" ht="210" x14ac:dyDescent="0.25">
      <c r="A8" s="1" t="str">
        <f>IF(receta!A8="","",receta!A8)</f>
        <v>Americano</v>
      </c>
      <c r="B8" s="1"/>
      <c r="C8" s="4" t="s">
        <v>368</v>
      </c>
      <c r="D8" s="1"/>
      <c r="E8" s="1" t="s">
        <v>170</v>
      </c>
      <c r="F8" s="1" t="s">
        <v>171</v>
      </c>
      <c r="G8" s="1"/>
      <c r="H8" s="1"/>
      <c r="I8" s="1"/>
      <c r="J8" s="1"/>
      <c r="K8" s="1"/>
    </row>
    <row r="9" spans="1:11" ht="105" x14ac:dyDescent="0.25">
      <c r="A9" s="1" t="str">
        <f>IF(receta!A9="","",receta!A9)</f>
        <v>Amiga Mía</v>
      </c>
      <c r="B9" s="1"/>
      <c r="C9" s="1" t="s">
        <v>372</v>
      </c>
      <c r="D9" s="4" t="s">
        <v>426</v>
      </c>
      <c r="E9" s="1" t="s">
        <v>188</v>
      </c>
      <c r="F9" s="5" t="s">
        <v>189</v>
      </c>
      <c r="G9" s="1"/>
      <c r="H9" s="5"/>
      <c r="I9" s="1"/>
      <c r="J9" s="5"/>
      <c r="K9" s="1"/>
    </row>
    <row r="10" spans="1:11" ht="210" x14ac:dyDescent="0.25">
      <c r="A10" s="1" t="str">
        <f>IF(receta!A10="","",receta!A10)</f>
        <v>Andes Refresh</v>
      </c>
      <c r="B10" s="4" t="s">
        <v>628</v>
      </c>
      <c r="C10" s="4" t="s">
        <v>627</v>
      </c>
      <c r="D10" s="1"/>
      <c r="E10" s="11"/>
      <c r="F10" s="1"/>
      <c r="G10" s="11"/>
      <c r="H10" s="1"/>
      <c r="I10" s="11"/>
      <c r="J10" s="1"/>
      <c r="K10" s="1"/>
    </row>
    <row r="11" spans="1:11" ht="390" x14ac:dyDescent="0.25">
      <c r="A11" s="1" t="str">
        <f>IF(receta!A11="","",receta!A11)</f>
        <v>Aperol Spritz</v>
      </c>
      <c r="B11" s="1"/>
      <c r="C11" s="4" t="s">
        <v>605</v>
      </c>
      <c r="D11" s="4" t="s">
        <v>604</v>
      </c>
      <c r="E11" s="1"/>
      <c r="F11" s="1"/>
      <c r="G11" s="1"/>
      <c r="H11" s="1"/>
      <c r="I11" s="1"/>
      <c r="J11" s="1"/>
      <c r="K11" s="1"/>
    </row>
    <row r="12" spans="1:11" ht="409.5" x14ac:dyDescent="0.25">
      <c r="A12" s="1" t="str">
        <f>IF(receta!A12="","",receta!A12)</f>
        <v>Arándano Sour</v>
      </c>
      <c r="B12" s="4" t="s">
        <v>674</v>
      </c>
      <c r="C12" s="4" t="s">
        <v>629</v>
      </c>
      <c r="D12" s="4" t="s">
        <v>557</v>
      </c>
      <c r="E12" s="1"/>
      <c r="F12" s="1"/>
      <c r="G12" s="1"/>
      <c r="H12" s="1"/>
      <c r="I12" s="1"/>
      <c r="J12" s="1"/>
      <c r="K12" s="1"/>
    </row>
    <row r="13" spans="1:11" ht="75" x14ac:dyDescent="0.25">
      <c r="A13" s="1" t="str">
        <f>IF(receta!A13="","",receta!A13)</f>
        <v>Bellini</v>
      </c>
      <c r="B13" s="1"/>
      <c r="C13" s="4" t="s">
        <v>451</v>
      </c>
      <c r="D13" s="4" t="s">
        <v>422</v>
      </c>
      <c r="E13" s="1"/>
      <c r="F13" s="1"/>
      <c r="G13" s="1"/>
      <c r="H13" s="1"/>
      <c r="I13" s="1"/>
      <c r="J13" s="1"/>
      <c r="K13" s="1"/>
    </row>
    <row r="14" spans="1:11" ht="409.5" x14ac:dyDescent="0.25">
      <c r="A14" s="1" t="str">
        <f>IF(receta!A14="","",receta!A14)</f>
        <v>Bello Barrio</v>
      </c>
      <c r="B14" s="1"/>
      <c r="C14" s="1" t="s">
        <v>372</v>
      </c>
      <c r="D14" s="4" t="s">
        <v>398</v>
      </c>
      <c r="E14" s="1"/>
      <c r="F14" s="1"/>
      <c r="G14" s="1" t="s">
        <v>327</v>
      </c>
      <c r="H14" s="1" t="s">
        <v>254</v>
      </c>
      <c r="I14" s="1"/>
      <c r="J14" s="1"/>
      <c r="K14" s="1"/>
    </row>
    <row r="15" spans="1:11" ht="409.5" x14ac:dyDescent="0.25">
      <c r="A15" s="1" t="str">
        <f>IF(receta!A15="","",receta!A15)</f>
        <v>Bitter Batido</v>
      </c>
      <c r="B15" s="1"/>
      <c r="C15" s="4" t="s">
        <v>546</v>
      </c>
      <c r="D15" s="4" t="s">
        <v>379</v>
      </c>
      <c r="E15" s="1"/>
      <c r="F15" s="1"/>
      <c r="G15" s="1"/>
      <c r="H15" s="1"/>
      <c r="I15" s="1"/>
      <c r="J15" s="1"/>
      <c r="K15" s="1"/>
    </row>
    <row r="16" spans="1:11" x14ac:dyDescent="0.25">
      <c r="A16" s="1" t="str">
        <f>IF(receta!A16="","",receta!A16)</f>
        <v>Blanco de Verano</v>
      </c>
      <c r="B16" s="13"/>
      <c r="C16" s="1"/>
      <c r="D16" s="1"/>
      <c r="E16" s="1"/>
      <c r="F16" s="1"/>
      <c r="G16" s="1"/>
      <c r="H16" s="1"/>
      <c r="I16" s="1"/>
      <c r="J16" s="1"/>
      <c r="K16" s="1"/>
    </row>
    <row r="17" spans="1:11" ht="390" x14ac:dyDescent="0.25">
      <c r="A17" s="1" t="str">
        <f>IF(receta!A17="","",receta!A17)</f>
        <v>Bloody Mary</v>
      </c>
      <c r="B17" s="1"/>
      <c r="C17" s="4" t="s">
        <v>452</v>
      </c>
      <c r="D17" s="4" t="s">
        <v>157</v>
      </c>
      <c r="E17" s="4" t="s">
        <v>454</v>
      </c>
      <c r="F17" s="10" t="s">
        <v>453</v>
      </c>
      <c r="G17" s="4" t="s">
        <v>328</v>
      </c>
      <c r="H17" s="10" t="s">
        <v>255</v>
      </c>
      <c r="I17" s="4"/>
      <c r="J17" s="10"/>
      <c r="K17" s="1"/>
    </row>
    <row r="18" spans="1:11" x14ac:dyDescent="0.25">
      <c r="A18" s="1" t="str">
        <f>IF(receta!A18="","",receta!A18)</f>
        <v>Bloody Mary (Sin Alcohol)</v>
      </c>
      <c r="B18" s="1"/>
      <c r="C18" s="4" t="s">
        <v>320</v>
      </c>
      <c r="D18" s="4"/>
      <c r="E18" s="1" t="s">
        <v>330</v>
      </c>
      <c r="F18" s="5" t="s">
        <v>329</v>
      </c>
      <c r="G18" s="4"/>
      <c r="H18" s="10"/>
      <c r="I18" s="1"/>
      <c r="J18" s="5"/>
      <c r="K18" s="1"/>
    </row>
    <row r="19" spans="1:11" ht="180" x14ac:dyDescent="0.25">
      <c r="A19" s="1" t="str">
        <f>IF(receta!A19="","",receta!A19)</f>
        <v>Blue Hawaii</v>
      </c>
      <c r="B19" s="1"/>
      <c r="C19" s="4" t="s">
        <v>447</v>
      </c>
      <c r="D19" s="4"/>
      <c r="E19" s="1" t="s">
        <v>445</v>
      </c>
      <c r="F19" s="1" t="s">
        <v>444</v>
      </c>
      <c r="G19" s="1"/>
      <c r="H19" s="1"/>
      <c r="I19" s="1"/>
      <c r="J19" s="1"/>
      <c r="K19" s="1"/>
    </row>
    <row r="20" spans="1:11" ht="120" x14ac:dyDescent="0.25">
      <c r="A20" s="1" t="str">
        <f>IF(receta!A20="","",receta!A20)</f>
        <v>Blue Hawaiian</v>
      </c>
      <c r="B20" s="1"/>
      <c r="C20" s="4" t="s">
        <v>446</v>
      </c>
      <c r="D20" s="4"/>
      <c r="E20" s="1" t="s">
        <v>332</v>
      </c>
      <c r="F20" s="1" t="s">
        <v>331</v>
      </c>
      <c r="G20" s="1"/>
      <c r="H20" s="1"/>
      <c r="I20" s="1"/>
      <c r="J20" s="1"/>
      <c r="K20" s="1"/>
    </row>
    <row r="21" spans="1:11" ht="135" x14ac:dyDescent="0.25">
      <c r="A21" s="1" t="str">
        <f>IF(receta!A21="","",receta!A21)</f>
        <v>Borgoña</v>
      </c>
      <c r="B21" s="4" t="s">
        <v>742</v>
      </c>
      <c r="C21" s="4" t="s">
        <v>701</v>
      </c>
      <c r="D21" s="4"/>
      <c r="E21" s="1"/>
      <c r="F21" s="1"/>
      <c r="G21" s="1" t="s">
        <v>456</v>
      </c>
      <c r="H21" s="1" t="s">
        <v>455</v>
      </c>
      <c r="I21" s="1"/>
      <c r="J21" s="1"/>
      <c r="K21" s="4"/>
    </row>
    <row r="22" spans="1:11" ht="375" x14ac:dyDescent="0.25">
      <c r="A22" s="1" t="str">
        <f>IF(receta!A22="","",receta!A22)</f>
        <v>Caipiriña</v>
      </c>
      <c r="B22" s="4" t="s">
        <v>630</v>
      </c>
      <c r="C22" s="4" t="s">
        <v>739</v>
      </c>
      <c r="D22" s="1"/>
      <c r="E22" s="1" t="s">
        <v>575</v>
      </c>
      <c r="F22" s="5" t="s">
        <v>576</v>
      </c>
      <c r="G22" s="1"/>
      <c r="H22" s="1"/>
      <c r="I22" s="1"/>
      <c r="J22" s="5"/>
      <c r="K22" s="1"/>
    </row>
    <row r="23" spans="1:11" ht="90" x14ac:dyDescent="0.25">
      <c r="A23" s="1" t="str">
        <f>IF(receta!A23="","",receta!A23)</f>
        <v>Campari &amp; Vermouth Tonic</v>
      </c>
      <c r="B23" s="3"/>
      <c r="C23" s="3"/>
      <c r="D23" s="4" t="s">
        <v>423</v>
      </c>
      <c r="E23" s="1"/>
      <c r="F23" s="1"/>
      <c r="G23" s="1"/>
      <c r="H23" s="1"/>
      <c r="I23" s="1"/>
      <c r="J23" s="1"/>
      <c r="K23" s="1"/>
    </row>
    <row r="24" spans="1:11" ht="345" x14ac:dyDescent="0.25">
      <c r="A24" s="1" t="str">
        <f>IF(receta!A24="","",receta!A24)</f>
        <v>Carajillo</v>
      </c>
      <c r="B24" s="1"/>
      <c r="C24" s="4" t="s">
        <v>547</v>
      </c>
      <c r="D24" s="1"/>
      <c r="E24" s="1" t="s">
        <v>174</v>
      </c>
      <c r="F24" s="5" t="s">
        <v>175</v>
      </c>
      <c r="G24" s="1"/>
      <c r="H24" s="1"/>
      <c r="I24" s="1"/>
      <c r="J24" s="5"/>
      <c r="K24" s="1"/>
    </row>
    <row r="25" spans="1:11" ht="360" x14ac:dyDescent="0.25">
      <c r="A25" s="1" t="str">
        <f>IF(receta!A25="","",receta!A25)</f>
        <v>Chilcano</v>
      </c>
      <c r="B25" s="1"/>
      <c r="C25" s="4" t="s">
        <v>457</v>
      </c>
      <c r="D25" s="4" t="s">
        <v>459</v>
      </c>
      <c r="E25" s="1"/>
      <c r="F25" s="1"/>
      <c r="G25" s="1"/>
      <c r="H25" s="5"/>
      <c r="I25" s="1"/>
      <c r="J25" s="1"/>
      <c r="K25" s="1"/>
    </row>
    <row r="26" spans="1:11" ht="409.5" x14ac:dyDescent="0.25">
      <c r="A26" s="1" t="str">
        <f>IF(receta!A26="","",receta!A26)</f>
        <v>Chuflay</v>
      </c>
      <c r="B26" s="1"/>
      <c r="C26" s="4" t="s">
        <v>494</v>
      </c>
      <c r="D26" s="4" t="s">
        <v>493</v>
      </c>
      <c r="E26" s="1"/>
      <c r="F26" s="1"/>
      <c r="G26" s="4" t="s">
        <v>492</v>
      </c>
      <c r="H26" s="1" t="s">
        <v>491</v>
      </c>
      <c r="I26" s="1"/>
      <c r="J26" s="1"/>
      <c r="K26" s="1"/>
    </row>
    <row r="27" spans="1:11" ht="375" x14ac:dyDescent="0.25">
      <c r="A27" s="1" t="str">
        <f>IF(receta!A27="","",receta!A27)</f>
        <v>Chupilca</v>
      </c>
      <c r="B27" s="4" t="s">
        <v>699</v>
      </c>
      <c r="C27" s="4" t="s">
        <v>683</v>
      </c>
      <c r="D27" s="4" t="s">
        <v>681</v>
      </c>
      <c r="E27" s="1"/>
      <c r="F27" s="1"/>
      <c r="G27" s="1"/>
      <c r="H27" s="1"/>
      <c r="I27" s="1"/>
      <c r="J27" s="1"/>
      <c r="K27" s="1"/>
    </row>
    <row r="28" spans="1:11" ht="409.5" x14ac:dyDescent="0.25">
      <c r="A28" s="1" t="str">
        <f>IF(receta!A28="","",receta!A28)</f>
        <v>Cimarrón</v>
      </c>
      <c r="B28" s="1"/>
      <c r="C28" s="4" t="s">
        <v>460</v>
      </c>
      <c r="D28" s="4"/>
      <c r="E28" s="1"/>
      <c r="F28" s="5"/>
      <c r="G28" s="1" t="s">
        <v>351</v>
      </c>
      <c r="H28" s="5" t="s">
        <v>256</v>
      </c>
      <c r="I28" s="1"/>
      <c r="J28" s="5"/>
      <c r="K28" s="1"/>
    </row>
    <row r="29" spans="1:11" ht="360" x14ac:dyDescent="0.25">
      <c r="A29" s="1" t="str">
        <f>IF(receta!A29="","",receta!A29)</f>
        <v>Clavo Oxidado</v>
      </c>
      <c r="B29" s="1"/>
      <c r="C29" s="4" t="s">
        <v>507</v>
      </c>
      <c r="D29" s="1"/>
      <c r="E29" s="1" t="s">
        <v>499</v>
      </c>
      <c r="F29" s="1" t="s">
        <v>498</v>
      </c>
      <c r="G29" s="1"/>
      <c r="H29" s="5"/>
      <c r="I29" s="1"/>
      <c r="J29" s="1"/>
      <c r="K29" s="1"/>
    </row>
    <row r="30" spans="1:11" ht="135" x14ac:dyDescent="0.25">
      <c r="A30" s="1" t="str">
        <f>IF(receta!A30="","",receta!A30)</f>
        <v>Cléry</v>
      </c>
      <c r="B30" s="4" t="s">
        <v>743</v>
      </c>
      <c r="C30" s="4" t="s">
        <v>673</v>
      </c>
      <c r="D30" s="1"/>
      <c r="E30" s="1"/>
      <c r="F30" s="1"/>
      <c r="G30" s="1"/>
      <c r="H30" s="1"/>
      <c r="I30" s="1"/>
      <c r="J30" s="1"/>
      <c r="K30" s="1"/>
    </row>
    <row r="31" spans="1:11" ht="409.5" x14ac:dyDescent="0.25">
      <c r="A31" s="1" t="str">
        <f>IF(receta!A31="","",receta!A31)</f>
        <v>Cléry Chirimoya</v>
      </c>
      <c r="B31" s="4" t="s">
        <v>744</v>
      </c>
      <c r="C31" s="4" t="s">
        <v>673</v>
      </c>
      <c r="D31" s="4" t="s">
        <v>427</v>
      </c>
      <c r="E31" s="1"/>
      <c r="F31" s="1"/>
      <c r="G31" s="1"/>
      <c r="H31" s="1"/>
      <c r="I31" s="1"/>
      <c r="J31" s="1"/>
      <c r="K31" s="1"/>
    </row>
    <row r="32" spans="1:11" ht="240" x14ac:dyDescent="0.25">
      <c r="A32" s="1" t="str">
        <f>IF(receta!A32="","",receta!A32)</f>
        <v>Cléry Durazno</v>
      </c>
      <c r="B32" s="4" t="s">
        <v>745</v>
      </c>
      <c r="C32" s="4" t="s">
        <v>673</v>
      </c>
      <c r="D32" s="1"/>
      <c r="E32" s="1" t="s">
        <v>335</v>
      </c>
      <c r="F32" s="5" t="s">
        <v>334</v>
      </c>
      <c r="G32" s="1"/>
      <c r="H32" s="1"/>
      <c r="I32" s="1"/>
      <c r="J32" s="5"/>
      <c r="K32" s="1"/>
    </row>
    <row r="33" spans="1:11" ht="409.5" x14ac:dyDescent="0.25">
      <c r="A33" s="1" t="str">
        <f>IF(receta!A33="","",receta!A33)</f>
        <v>Clover Club</v>
      </c>
      <c r="B33" s="4" t="s">
        <v>731</v>
      </c>
      <c r="C33" s="4" t="s">
        <v>847</v>
      </c>
      <c r="D33" s="4" t="s">
        <v>552</v>
      </c>
      <c r="E33" s="4" t="s">
        <v>553</v>
      </c>
      <c r="F33" s="1" t="s">
        <v>551</v>
      </c>
      <c r="G33" s="1"/>
      <c r="H33" s="1"/>
      <c r="I33" s="4"/>
      <c r="J33" s="1"/>
      <c r="K33" s="4" t="s">
        <v>888</v>
      </c>
    </row>
    <row r="34" spans="1:11" ht="255" x14ac:dyDescent="0.25">
      <c r="A34" s="1" t="str">
        <f>IF(receta!A34="","",receta!A34)</f>
        <v>Cordillera</v>
      </c>
      <c r="B34" s="1"/>
      <c r="C34" s="4" t="s">
        <v>668</v>
      </c>
      <c r="D34" s="4"/>
      <c r="E34" s="1" t="s">
        <v>244</v>
      </c>
      <c r="F34" s="5" t="s">
        <v>245</v>
      </c>
      <c r="G34" s="1"/>
      <c r="H34" s="1"/>
      <c r="I34" s="1"/>
      <c r="J34" s="5"/>
      <c r="K34" s="1"/>
    </row>
    <row r="35" spans="1:11" ht="45" x14ac:dyDescent="0.25">
      <c r="A35" s="1" t="str">
        <f>IF(receta!A35="","",receta!A35)</f>
        <v>Cosmo Patagonia</v>
      </c>
      <c r="B35" s="4" t="s">
        <v>737</v>
      </c>
      <c r="C35" s="4" t="s">
        <v>631</v>
      </c>
      <c r="D35" s="4"/>
      <c r="E35" s="1"/>
      <c r="F35" s="1"/>
      <c r="G35" s="1"/>
      <c r="H35" s="5"/>
      <c r="I35" s="1"/>
      <c r="J35" s="1"/>
      <c r="K35" s="1"/>
    </row>
    <row r="36" spans="1:11" ht="165" x14ac:dyDescent="0.25">
      <c r="A36" s="1" t="str">
        <f>IF(receta!A36="","",receta!A36)</f>
        <v>Cosmopolitan</v>
      </c>
      <c r="B36" s="1"/>
      <c r="C36" s="4" t="s">
        <v>540</v>
      </c>
      <c r="D36" s="1"/>
      <c r="E36" s="1"/>
      <c r="F36" s="1"/>
      <c r="G36" s="1"/>
      <c r="H36" s="1"/>
      <c r="I36" s="1"/>
      <c r="J36" s="1"/>
      <c r="K36" s="1"/>
    </row>
    <row r="37" spans="1:11" ht="120" x14ac:dyDescent="0.25">
      <c r="A37" s="1" t="str">
        <f>IF(receta!A37="","",receta!A37)</f>
        <v>Crepúsculo</v>
      </c>
      <c r="B37" s="4" t="s">
        <v>633</v>
      </c>
      <c r="C37" s="4" t="s">
        <v>632</v>
      </c>
      <c r="D37" s="1"/>
      <c r="E37" s="4" t="s">
        <v>247</v>
      </c>
      <c r="F37" s="5" t="s">
        <v>246</v>
      </c>
      <c r="G37" s="1"/>
      <c r="H37" s="1"/>
      <c r="I37" s="4"/>
      <c r="J37" s="5"/>
      <c r="K37" s="1"/>
    </row>
    <row r="38" spans="1:11" ht="255" x14ac:dyDescent="0.25">
      <c r="A38" s="1" t="str">
        <f>IF(receta!A38="","",receta!A38)</f>
        <v>Cuba Libre</v>
      </c>
      <c r="B38" s="1"/>
      <c r="C38" s="4" t="s">
        <v>538</v>
      </c>
      <c r="D38" s="1"/>
      <c r="E38" s="1" t="s">
        <v>515</v>
      </c>
      <c r="F38" s="5" t="s">
        <v>514</v>
      </c>
      <c r="G38" s="1"/>
      <c r="H38" s="1"/>
      <c r="I38" s="1"/>
      <c r="J38" s="5"/>
      <c r="K38" s="1"/>
    </row>
    <row r="39" spans="1:11" ht="75" x14ac:dyDescent="0.25">
      <c r="A39" s="1" t="str">
        <f>IF(receta!A39="","",receta!A39)</f>
        <v>Cynar Spritz</v>
      </c>
      <c r="B39" s="1"/>
      <c r="C39" s="4" t="s">
        <v>333</v>
      </c>
      <c r="D39" s="1"/>
      <c r="E39" s="1"/>
      <c r="F39" s="1"/>
      <c r="G39" s="1"/>
      <c r="H39" s="1"/>
      <c r="I39" s="1"/>
      <c r="J39" s="1"/>
      <c r="K39" s="1"/>
    </row>
    <row r="40" spans="1:11" ht="60" x14ac:dyDescent="0.25">
      <c r="A40" s="1" t="str">
        <f>IF(receta!A40="","",receta!A40)</f>
        <v>Daiquiri</v>
      </c>
      <c r="B40" s="1"/>
      <c r="C40" s="4" t="s">
        <v>346</v>
      </c>
      <c r="D40" s="1"/>
      <c r="E40" s="4" t="s">
        <v>408</v>
      </c>
      <c r="F40" s="5" t="s">
        <v>407</v>
      </c>
      <c r="G40" s="1"/>
      <c r="H40" s="1"/>
      <c r="I40" s="4"/>
      <c r="J40" s="5"/>
      <c r="K40" s="1"/>
    </row>
    <row r="41" spans="1:11" ht="210" x14ac:dyDescent="0.25">
      <c r="A41" s="1" t="str">
        <f>IF(receta!A41="","",receta!A41)</f>
        <v>Dama Blanca</v>
      </c>
      <c r="B41" s="4" t="s">
        <v>731</v>
      </c>
      <c r="C41" s="4" t="s">
        <v>480</v>
      </c>
      <c r="D41" s="4"/>
      <c r="E41" s="1"/>
      <c r="F41" s="1"/>
      <c r="G41" s="1"/>
      <c r="H41" s="1"/>
      <c r="I41" s="1"/>
      <c r="J41" s="1"/>
      <c r="K41" s="1"/>
    </row>
    <row r="42" spans="1:11" ht="60" x14ac:dyDescent="0.25">
      <c r="A42" s="1" t="str">
        <f>IF(receta!A42="","",receta!A42)</f>
        <v>Dark &amp; Stormy</v>
      </c>
      <c r="B42" s="1"/>
      <c r="C42" s="4" t="s">
        <v>461</v>
      </c>
      <c r="D42" s="1"/>
      <c r="E42" s="1" t="s">
        <v>463</v>
      </c>
      <c r="F42" s="1" t="s">
        <v>462</v>
      </c>
      <c r="G42" s="1"/>
      <c r="H42" s="1"/>
      <c r="I42" s="1"/>
      <c r="J42" s="1"/>
      <c r="K42" s="1"/>
    </row>
    <row r="43" spans="1:11" ht="270" x14ac:dyDescent="0.25">
      <c r="A43" s="1" t="str">
        <f>IF(receta!A43="","",receta!A43)</f>
        <v>Destornillador</v>
      </c>
      <c r="B43" s="1"/>
      <c r="C43" s="4" t="s">
        <v>595</v>
      </c>
      <c r="D43" s="4" t="s">
        <v>596</v>
      </c>
      <c r="E43" s="1"/>
      <c r="F43" s="5"/>
      <c r="G43" s="1" t="s">
        <v>257</v>
      </c>
      <c r="H43" s="5" t="s">
        <v>258</v>
      </c>
      <c r="I43" s="1"/>
      <c r="J43" s="5"/>
      <c r="K43" s="1"/>
    </row>
    <row r="44" spans="1:11" ht="135" x14ac:dyDescent="0.25">
      <c r="A44" s="1" t="str">
        <f>IF(receta!A44="","",receta!A44)</f>
        <v>Doug's Death</v>
      </c>
      <c r="B44" s="1"/>
      <c r="C44" s="4" t="s">
        <v>448</v>
      </c>
      <c r="D44" s="1"/>
      <c r="E44" s="1"/>
      <c r="F44" s="1"/>
      <c r="G44" s="1"/>
      <c r="H44" s="5"/>
      <c r="I44" s="1"/>
      <c r="J44" s="1"/>
      <c r="K44" s="1"/>
    </row>
    <row r="45" spans="1:11" ht="409.5" x14ac:dyDescent="0.25">
      <c r="A45" s="1" t="str">
        <f>IF(receta!A45="","",receta!A45)</f>
        <v>Dry Martini</v>
      </c>
      <c r="B45" s="4" t="s">
        <v>634</v>
      </c>
      <c r="C45" s="4" t="s">
        <v>700</v>
      </c>
      <c r="D45" s="4" t="s">
        <v>394</v>
      </c>
      <c r="E45" s="1"/>
      <c r="F45" s="1"/>
      <c r="G45" s="1"/>
      <c r="H45" s="1"/>
      <c r="I45" s="1"/>
      <c r="J45" s="1"/>
      <c r="K45" s="1"/>
    </row>
    <row r="46" spans="1:11" ht="285" x14ac:dyDescent="0.25">
      <c r="A46" s="1" t="str">
        <f>IF(receta!A46="","",receta!A46)</f>
        <v>El Amor en los Tiempos del Covid</v>
      </c>
      <c r="B46" s="4" t="s">
        <v>746</v>
      </c>
      <c r="C46" s="4"/>
      <c r="D46" s="4"/>
      <c r="E46" s="4" t="s">
        <v>185</v>
      </c>
      <c r="F46" s="5" t="s">
        <v>184</v>
      </c>
      <c r="G46" s="1"/>
      <c r="H46" s="1"/>
      <c r="I46" s="4"/>
      <c r="J46" s="5"/>
      <c r="K46" s="1"/>
    </row>
    <row r="47" spans="1:11" ht="240" x14ac:dyDescent="0.25">
      <c r="A47" s="1" t="str">
        <f>IF(receta!A47="","",receta!A47)</f>
        <v>Enemigo Íntimo</v>
      </c>
      <c r="B47" s="1"/>
      <c r="C47" s="4" t="s">
        <v>380</v>
      </c>
      <c r="D47" s="4" t="s">
        <v>306</v>
      </c>
      <c r="E47" s="1" t="s">
        <v>302</v>
      </c>
      <c r="F47" s="5" t="s">
        <v>303</v>
      </c>
      <c r="G47" s="4"/>
      <c r="H47" s="5"/>
      <c r="I47" s="1"/>
      <c r="J47" s="5"/>
      <c r="K47" s="1"/>
    </row>
    <row r="48" spans="1:11" ht="315" x14ac:dyDescent="0.25">
      <c r="A48" s="1" t="str">
        <f>IF(receta!A48="","",receta!A48)</f>
        <v>Escarabajo</v>
      </c>
      <c r="B48" s="1"/>
      <c r="C48" s="4" t="s">
        <v>381</v>
      </c>
      <c r="D48" s="4" t="s">
        <v>603</v>
      </c>
      <c r="E48" s="1" t="s">
        <v>601</v>
      </c>
      <c r="F48" s="5" t="s">
        <v>602</v>
      </c>
      <c r="G48" s="1"/>
      <c r="H48" s="5"/>
      <c r="I48" s="1"/>
      <c r="J48" s="5"/>
      <c r="K48" s="1"/>
    </row>
    <row r="49" spans="1:11" ht="270" x14ac:dyDescent="0.25">
      <c r="A49" s="1" t="str">
        <f>IF(receta!A49="","",receta!A49)</f>
        <v>Española</v>
      </c>
      <c r="B49" s="1"/>
      <c r="C49" s="4" t="s">
        <v>635</v>
      </c>
      <c r="D49" s="4" t="s">
        <v>373</v>
      </c>
      <c r="E49" s="1" t="s">
        <v>773</v>
      </c>
      <c r="F49" s="5" t="s">
        <v>774</v>
      </c>
      <c r="G49" s="1"/>
      <c r="H49" s="1"/>
      <c r="I49" s="1"/>
      <c r="J49" s="1"/>
      <c r="K49" s="1"/>
    </row>
    <row r="50" spans="1:11" ht="255" x14ac:dyDescent="0.25">
      <c r="A50" s="1" t="str">
        <f>IF(receta!A50="","",receta!A50)</f>
        <v>Espiral</v>
      </c>
      <c r="B50" s="1"/>
      <c r="C50" s="4" t="s">
        <v>682</v>
      </c>
      <c r="D50" s="4"/>
      <c r="E50" s="4" t="s">
        <v>484</v>
      </c>
      <c r="F50" s="5" t="s">
        <v>485</v>
      </c>
      <c r="G50" s="1" t="s">
        <v>326</v>
      </c>
      <c r="H50" s="5" t="s">
        <v>287</v>
      </c>
      <c r="I50" s="4"/>
      <c r="J50" s="5"/>
      <c r="K50" s="1"/>
    </row>
    <row r="51" spans="1:11" ht="90" x14ac:dyDescent="0.25">
      <c r="A51" s="1" t="str">
        <f>IF(receta!A51="","",receta!A51)</f>
        <v>Espresso Martini</v>
      </c>
      <c r="B51" s="1"/>
      <c r="C51" s="4" t="s">
        <v>497</v>
      </c>
      <c r="D51" s="1"/>
      <c r="E51" s="1"/>
      <c r="F51" s="1"/>
      <c r="G51" s="1"/>
      <c r="H51" s="1"/>
      <c r="I51" s="1"/>
      <c r="J51" s="1"/>
      <c r="K51" s="1"/>
    </row>
    <row r="52" spans="1:11" ht="150" x14ac:dyDescent="0.25">
      <c r="A52" s="1" t="str">
        <f>IF(receta!A52="","",receta!A52)</f>
        <v>Estoy Verde</v>
      </c>
      <c r="B52" s="1"/>
      <c r="C52" s="1" t="s">
        <v>372</v>
      </c>
      <c r="D52" s="4" t="s">
        <v>479</v>
      </c>
      <c r="E52" s="1" t="s">
        <v>193</v>
      </c>
      <c r="F52" s="1" t="s">
        <v>192</v>
      </c>
      <c r="G52" s="1" t="s">
        <v>509</v>
      </c>
      <c r="H52" s="1" t="s">
        <v>508</v>
      </c>
      <c r="I52" s="1"/>
      <c r="J52" s="1"/>
      <c r="K52" s="1"/>
    </row>
    <row r="53" spans="1:11" ht="390" x14ac:dyDescent="0.25">
      <c r="A53" s="1" t="str">
        <f>IF(receta!A53="","",receta!A53)</f>
        <v>Fanshop</v>
      </c>
      <c r="B53" s="1"/>
      <c r="C53" s="4" t="s">
        <v>388</v>
      </c>
      <c r="D53" s="4" t="s">
        <v>404</v>
      </c>
      <c r="E53" s="1" t="s">
        <v>405</v>
      </c>
      <c r="F53" s="1" t="s">
        <v>406</v>
      </c>
      <c r="G53" s="1" t="s">
        <v>386</v>
      </c>
      <c r="H53" s="1" t="s">
        <v>385</v>
      </c>
      <c r="I53" s="1"/>
      <c r="J53" s="1"/>
      <c r="K53" s="1"/>
    </row>
    <row r="54" spans="1:11" ht="30" x14ac:dyDescent="0.25">
      <c r="A54" s="1" t="str">
        <f>IF(receta!A54="","",receta!A54)</f>
        <v>Faro</v>
      </c>
      <c r="B54" s="1"/>
      <c r="C54" s="4" t="s">
        <v>686</v>
      </c>
      <c r="D54" s="4"/>
      <c r="E54" s="1"/>
      <c r="F54" s="5"/>
      <c r="G54" s="1" t="s">
        <v>352</v>
      </c>
      <c r="H54" s="5" t="s">
        <v>290</v>
      </c>
      <c r="I54" s="1"/>
      <c r="J54" s="5"/>
      <c r="K54" s="1"/>
    </row>
    <row r="55" spans="1:11" x14ac:dyDescent="0.25">
      <c r="A55" s="1" t="str">
        <f>IF(receta!A55="","",receta!A55)</f>
        <v>Feria Libre</v>
      </c>
      <c r="B55" s="1"/>
      <c r="C55" s="1" t="s">
        <v>372</v>
      </c>
      <c r="D55" s="1"/>
      <c r="E55" s="1" t="s">
        <v>183</v>
      </c>
      <c r="F55" s="5" t="s">
        <v>182</v>
      </c>
      <c r="G55" s="1"/>
      <c r="H55" s="5"/>
      <c r="I55" s="1"/>
      <c r="J55" s="5"/>
      <c r="K55" s="1"/>
    </row>
    <row r="56" spans="1:11" ht="409.5" x14ac:dyDescent="0.25">
      <c r="A56" s="1" t="str">
        <f>IF(receta!A56="","",receta!A56)</f>
        <v>Fernet con Coca</v>
      </c>
      <c r="B56" s="1"/>
      <c r="C56" s="4" t="s">
        <v>478</v>
      </c>
      <c r="D56" s="4" t="s">
        <v>397</v>
      </c>
      <c r="E56" s="1" t="s">
        <v>477</v>
      </c>
      <c r="F56" s="1" t="s">
        <v>476</v>
      </c>
      <c r="G56" s="1"/>
      <c r="H56" s="1"/>
      <c r="I56" s="1"/>
      <c r="J56" s="1"/>
      <c r="K56" s="1"/>
    </row>
    <row r="57" spans="1:11" ht="120" x14ac:dyDescent="0.25">
      <c r="A57" s="1" t="str">
        <f>IF(receta!A57="","",receta!A57)</f>
        <v>Ferroviario</v>
      </c>
      <c r="B57" s="1"/>
      <c r="C57" s="4" t="s">
        <v>363</v>
      </c>
      <c r="D57" s="4" t="s">
        <v>424</v>
      </c>
      <c r="E57" s="11" t="s">
        <v>172</v>
      </c>
      <c r="F57" s="5" t="s">
        <v>173</v>
      </c>
      <c r="G57" s="11"/>
      <c r="H57" s="5"/>
      <c r="I57" s="11"/>
      <c r="J57" s="5"/>
      <c r="K57" s="1"/>
    </row>
    <row r="58" spans="1:11" ht="165" x14ac:dyDescent="0.25">
      <c r="A58" s="1" t="str">
        <f>IF(receta!A58="","",receta!A58)</f>
        <v>Frangelico Sour</v>
      </c>
      <c r="B58" s="4" t="s">
        <v>731</v>
      </c>
      <c r="C58" s="4" t="s">
        <v>338</v>
      </c>
      <c r="D58" s="1"/>
      <c r="E58" s="1"/>
      <c r="F58" s="1"/>
      <c r="G58" s="1"/>
      <c r="H58" s="1"/>
      <c r="I58" s="1"/>
      <c r="J58" s="1"/>
      <c r="K58" s="1"/>
    </row>
    <row r="59" spans="1:11" ht="409.5" x14ac:dyDescent="0.25">
      <c r="A59" s="1" t="str">
        <f>IF(receta!A59="","",receta!A59)</f>
        <v>French 75</v>
      </c>
      <c r="B59" s="4" t="s">
        <v>637</v>
      </c>
      <c r="C59" s="4" t="s">
        <v>636</v>
      </c>
      <c r="D59" s="4" t="s">
        <v>359</v>
      </c>
      <c r="E59" s="1" t="s">
        <v>414</v>
      </c>
      <c r="F59" s="5" t="s">
        <v>413</v>
      </c>
      <c r="G59" s="1"/>
      <c r="H59" s="1"/>
      <c r="I59" s="1"/>
      <c r="J59" s="5"/>
      <c r="K59" s="1"/>
    </row>
    <row r="60" spans="1:11" ht="90" x14ac:dyDescent="0.25">
      <c r="A60" s="1" t="str">
        <f>IF(receta!A60="","",receta!A60)</f>
        <v>Garibaldi</v>
      </c>
      <c r="B60" s="1"/>
      <c r="C60" s="4" t="s">
        <v>339</v>
      </c>
      <c r="D60" s="1"/>
      <c r="E60" s="1"/>
      <c r="F60" s="1"/>
      <c r="G60" s="1"/>
      <c r="H60" s="1"/>
      <c r="I60" s="1"/>
      <c r="J60" s="1"/>
      <c r="K60" s="1"/>
    </row>
    <row r="61" spans="1:11" ht="165" x14ac:dyDescent="0.25">
      <c r="A61" s="1" t="str">
        <f>IF(receta!A61="","",receta!A61)</f>
        <v>Gimlet</v>
      </c>
      <c r="B61" s="1"/>
      <c r="C61" s="4" t="s">
        <v>336</v>
      </c>
      <c r="D61" s="4" t="s">
        <v>390</v>
      </c>
      <c r="E61" s="1" t="s">
        <v>473</v>
      </c>
      <c r="F61" s="1" t="s">
        <v>472</v>
      </c>
      <c r="G61" s="4"/>
      <c r="H61" s="1"/>
      <c r="I61" s="1"/>
      <c r="J61" s="1"/>
      <c r="K61" s="1"/>
    </row>
    <row r="62" spans="1:11" ht="345" x14ac:dyDescent="0.25">
      <c r="A62" s="1" t="str">
        <f>IF(receta!A62="","",receta!A62)</f>
        <v>Gin con Gin</v>
      </c>
      <c r="B62" s="1"/>
      <c r="C62" s="4" t="s">
        <v>740</v>
      </c>
      <c r="D62" s="1"/>
      <c r="E62" s="4" t="s">
        <v>409</v>
      </c>
      <c r="F62" s="5" t="s">
        <v>410</v>
      </c>
      <c r="G62" s="4"/>
      <c r="H62" s="5"/>
      <c r="I62" s="4"/>
      <c r="J62" s="5"/>
      <c r="K62" s="1"/>
    </row>
    <row r="63" spans="1:11" ht="409.5" x14ac:dyDescent="0.25">
      <c r="A63" s="1" t="str">
        <f>IF(receta!A63="","",receta!A63)</f>
        <v>Gin Tonic</v>
      </c>
      <c r="B63" s="1"/>
      <c r="C63" s="1"/>
      <c r="D63" s="4" t="s">
        <v>369</v>
      </c>
      <c r="E63" s="1" t="s">
        <v>159</v>
      </c>
      <c r="F63" s="5" t="s">
        <v>160</v>
      </c>
      <c r="G63" s="4" t="s">
        <v>411</v>
      </c>
      <c r="H63" s="5" t="s">
        <v>337</v>
      </c>
      <c r="I63" s="1" t="s">
        <v>770</v>
      </c>
      <c r="J63" s="5" t="s">
        <v>771</v>
      </c>
      <c r="K63" s="1"/>
    </row>
    <row r="64" spans="1:11" ht="60" x14ac:dyDescent="0.25">
      <c r="A64" s="1" t="str">
        <f>IF(receta!A64="","",receta!A64)</f>
        <v>Ginger Fire</v>
      </c>
      <c r="B64" s="1"/>
      <c r="C64" s="4" t="s">
        <v>698</v>
      </c>
      <c r="D64" s="1"/>
      <c r="E64" s="1"/>
      <c r="F64" s="1"/>
      <c r="G64" s="1"/>
      <c r="H64" s="1"/>
      <c r="I64" s="1"/>
      <c r="J64" s="1"/>
      <c r="K64" s="1"/>
    </row>
    <row r="65" spans="1:11" ht="409.5" x14ac:dyDescent="0.25">
      <c r="A65" s="1" t="str">
        <f>IF(receta!A65="","",receta!A65)</f>
        <v>Hemingway Daiquiri</v>
      </c>
      <c r="B65" s="1"/>
      <c r="C65" s="4" t="s">
        <v>638</v>
      </c>
      <c r="D65" s="4" t="s">
        <v>169</v>
      </c>
      <c r="E65" s="1"/>
      <c r="F65" s="1"/>
      <c r="G65" s="1"/>
      <c r="H65" s="5"/>
      <c r="I65" s="1"/>
      <c r="J65" s="1"/>
      <c r="K65" s="1"/>
    </row>
    <row r="66" spans="1:11" ht="375" x14ac:dyDescent="0.25">
      <c r="A66" s="1" t="str">
        <f>IF(receta!A66="","",receta!A66)</f>
        <v>Hugo</v>
      </c>
      <c r="B66" s="1"/>
      <c r="C66" s="4" t="s">
        <v>738</v>
      </c>
      <c r="D66" s="4" t="s">
        <v>751</v>
      </c>
      <c r="E66" s="1"/>
      <c r="F66" s="1"/>
      <c r="G66" s="1"/>
      <c r="H66" s="1"/>
      <c r="I66" s="1"/>
      <c r="J66" s="1"/>
      <c r="K66" s="1"/>
    </row>
    <row r="67" spans="1:11" ht="409.5" x14ac:dyDescent="0.25">
      <c r="A67" s="1" t="str">
        <f>IF(receta!A67="","",receta!A67)</f>
        <v>Incendio</v>
      </c>
      <c r="B67" s="1"/>
      <c r="C67" s="4" t="s">
        <v>382</v>
      </c>
      <c r="D67" s="4"/>
      <c r="E67" s="1" t="s">
        <v>220</v>
      </c>
      <c r="F67" s="5" t="s">
        <v>221</v>
      </c>
      <c r="G67" s="1"/>
      <c r="H67" s="5"/>
      <c r="I67" s="1"/>
      <c r="J67" s="5"/>
      <c r="K67" s="1"/>
    </row>
    <row r="68" spans="1:11" ht="330" x14ac:dyDescent="0.25">
      <c r="A68" s="1" t="str">
        <f>IF(receta!A68="","",receta!A68)</f>
        <v>Ingrata</v>
      </c>
      <c r="B68" s="1"/>
      <c r="C68" s="1" t="s">
        <v>383</v>
      </c>
      <c r="D68" s="4" t="s">
        <v>599</v>
      </c>
      <c r="E68" s="1" t="s">
        <v>165</v>
      </c>
      <c r="F68" s="5" t="s">
        <v>166</v>
      </c>
      <c r="G68" s="1"/>
      <c r="H68" s="1"/>
      <c r="I68" s="1"/>
      <c r="J68" s="5"/>
      <c r="K68" s="1"/>
    </row>
    <row r="69" spans="1:11" ht="300" x14ac:dyDescent="0.25">
      <c r="A69" s="1" t="str">
        <f>IF(receta!A69="","",receta!A69)</f>
        <v>Isla Negra</v>
      </c>
      <c r="B69" s="1"/>
      <c r="C69" s="4" t="s">
        <v>438</v>
      </c>
      <c r="D69" s="4" t="s">
        <v>432</v>
      </c>
      <c r="E69" s="1" t="s">
        <v>434</v>
      </c>
      <c r="F69" s="1" t="s">
        <v>433</v>
      </c>
      <c r="G69" s="1"/>
      <c r="H69" s="1"/>
      <c r="I69" s="1"/>
      <c r="J69" s="1"/>
      <c r="K69" s="1"/>
    </row>
    <row r="70" spans="1:11" ht="195" x14ac:dyDescent="0.25">
      <c r="A70" s="1" t="str">
        <f>IF(receta!A70="","",receta!A70)</f>
        <v>Jardín</v>
      </c>
      <c r="B70" s="1"/>
      <c r="C70" s="1" t="s">
        <v>372</v>
      </c>
      <c r="D70" s="4" t="s">
        <v>402</v>
      </c>
      <c r="E70" s="1" t="s">
        <v>400</v>
      </c>
      <c r="F70" s="1" t="s">
        <v>401</v>
      </c>
      <c r="G70" s="1"/>
      <c r="H70" s="1"/>
      <c r="I70" s="1"/>
      <c r="J70" s="1"/>
      <c r="K70" s="1"/>
    </row>
    <row r="71" spans="1:11" ht="165" x14ac:dyDescent="0.25">
      <c r="A71" s="1" t="str">
        <f>IF(receta!A71="","",receta!A71)</f>
        <v>John Collins</v>
      </c>
      <c r="B71" s="1"/>
      <c r="C71" s="4" t="s">
        <v>464</v>
      </c>
      <c r="D71" s="1"/>
      <c r="E71" s="1" t="s">
        <v>471</v>
      </c>
      <c r="F71" s="5" t="s">
        <v>470</v>
      </c>
      <c r="G71" s="1"/>
      <c r="H71" s="5"/>
      <c r="I71" s="1"/>
      <c r="J71" s="5"/>
      <c r="K71" s="1"/>
    </row>
    <row r="72" spans="1:11" ht="409.5" x14ac:dyDescent="0.25">
      <c r="A72" s="1" t="str">
        <f>IF(receta!A72="","",receta!A72)</f>
        <v>Jote</v>
      </c>
      <c r="B72" s="4" t="s">
        <v>640</v>
      </c>
      <c r="C72" s="4" t="s">
        <v>639</v>
      </c>
      <c r="D72" s="4" t="s">
        <v>876</v>
      </c>
      <c r="E72" s="1"/>
      <c r="F72" s="5"/>
      <c r="G72" s="1" t="s">
        <v>417</v>
      </c>
      <c r="H72" s="5" t="s">
        <v>393</v>
      </c>
      <c r="I72" s="1"/>
      <c r="J72" s="5"/>
      <c r="K72" s="4" t="s">
        <v>877</v>
      </c>
    </row>
    <row r="73" spans="1:11" ht="225" x14ac:dyDescent="0.25">
      <c r="A73" s="1" t="str">
        <f>IF(receta!A73="","",receta!A73)</f>
        <v>Julepe de Menta</v>
      </c>
      <c r="B73" s="4" t="s">
        <v>566</v>
      </c>
      <c r="C73" s="4"/>
      <c r="D73" s="4" t="s">
        <v>567</v>
      </c>
      <c r="E73" s="1"/>
      <c r="F73" s="1"/>
      <c r="G73" s="1"/>
      <c r="H73" s="1"/>
      <c r="I73" s="1"/>
      <c r="J73" s="1"/>
      <c r="K73" s="1"/>
    </row>
    <row r="74" spans="1:11" ht="409.5" x14ac:dyDescent="0.25">
      <c r="A74" s="1" t="str">
        <f>IF(receta!A74="","",receta!A74)</f>
        <v>Julieta Flowers</v>
      </c>
      <c r="B74" s="4" t="s">
        <v>710</v>
      </c>
      <c r="C74" s="4" t="s">
        <v>715</v>
      </c>
      <c r="D74" s="4" t="s">
        <v>713</v>
      </c>
      <c r="E74" s="1" t="s">
        <v>732</v>
      </c>
      <c r="F74" s="5" t="s">
        <v>733</v>
      </c>
      <c r="G74" s="1" t="s">
        <v>735</v>
      </c>
      <c r="H74" s="5" t="s">
        <v>734</v>
      </c>
      <c r="I74" s="1"/>
      <c r="J74" s="5"/>
      <c r="K74" s="1"/>
    </row>
    <row r="75" spans="1:11" ht="75" x14ac:dyDescent="0.25">
      <c r="A75" s="1" t="str">
        <f>IF(receta!A75="","",receta!A75)</f>
        <v>Kir Royal</v>
      </c>
      <c r="B75" s="1"/>
      <c r="C75" s="4" t="s">
        <v>321</v>
      </c>
      <c r="D75" s="4"/>
      <c r="E75" s="1"/>
      <c r="F75" s="1"/>
      <c r="G75" s="1"/>
      <c r="H75" s="1"/>
      <c r="I75" s="1"/>
      <c r="J75" s="1"/>
      <c r="K75" s="1"/>
    </row>
    <row r="76" spans="1:11" ht="409.5" x14ac:dyDescent="0.25">
      <c r="A76" s="1" t="str">
        <f>IF(receta!A76="","",receta!A76)</f>
        <v>Kokomo</v>
      </c>
      <c r="B76" s="1"/>
      <c r="C76" s="4" t="s">
        <v>449</v>
      </c>
      <c r="D76" s="4" t="s">
        <v>270</v>
      </c>
      <c r="E76" s="1" t="s">
        <v>272</v>
      </c>
      <c r="F76" s="5" t="s">
        <v>271</v>
      </c>
      <c r="G76" s="1"/>
      <c r="H76" s="1"/>
      <c r="I76" s="1"/>
      <c r="J76" s="5"/>
      <c r="K76" s="1"/>
    </row>
    <row r="77" spans="1:11" ht="90" x14ac:dyDescent="0.25">
      <c r="A77" s="1" t="str">
        <f>IF(receta!A77="","",receta!A77)</f>
        <v>Laguna Azul</v>
      </c>
      <c r="B77" s="1"/>
      <c r="C77" s="4" t="s">
        <v>465</v>
      </c>
      <c r="D77" s="1"/>
      <c r="E77" s="1"/>
      <c r="F77" s="1"/>
      <c r="G77" s="1"/>
      <c r="H77" s="1"/>
      <c r="I77" s="1"/>
      <c r="J77" s="1"/>
      <c r="K77" s="1"/>
    </row>
    <row r="78" spans="1:11" ht="30" x14ac:dyDescent="0.25">
      <c r="A78" s="1" t="str">
        <f>IF(receta!A78="","",receta!A78)</f>
        <v>London Mule</v>
      </c>
      <c r="B78" s="1"/>
      <c r="C78" s="4" t="s">
        <v>466</v>
      </c>
      <c r="D78" s="1"/>
      <c r="E78" s="1" t="s">
        <v>791</v>
      </c>
      <c r="F78" s="5" t="s">
        <v>790</v>
      </c>
      <c r="G78" s="1"/>
      <c r="H78" s="1"/>
      <c r="I78" s="1" t="s">
        <v>793</v>
      </c>
      <c r="J78" s="5" t="s">
        <v>792</v>
      </c>
      <c r="K78" s="1"/>
    </row>
    <row r="79" spans="1:11" x14ac:dyDescent="0.25">
      <c r="A79" s="1" t="str">
        <f>IF(receta!A79="","",receta!A79)</f>
        <v>Luisito</v>
      </c>
      <c r="B79" s="1"/>
      <c r="C79" s="4"/>
      <c r="D79" s="1"/>
      <c r="E79" s="1"/>
      <c r="F79" s="1"/>
      <c r="G79" s="1"/>
      <c r="H79" s="1"/>
      <c r="I79" s="1"/>
      <c r="J79" s="1"/>
      <c r="K79" s="1"/>
    </row>
    <row r="80" spans="1:11" x14ac:dyDescent="0.25">
      <c r="A80" s="1" t="str">
        <f>IF(receta!A80="","",receta!A80)</f>
        <v>Luisito (Sin Alcohol)</v>
      </c>
      <c r="B80" s="1"/>
      <c r="C80" s="4" t="s">
        <v>320</v>
      </c>
      <c r="D80" s="4"/>
      <c r="E80" s="1"/>
      <c r="F80" s="1"/>
      <c r="G80" s="1"/>
      <c r="H80" s="5"/>
      <c r="I80" s="1"/>
      <c r="J80" s="1"/>
      <c r="K80" s="1"/>
    </row>
    <row r="81" spans="1:11" ht="60" x14ac:dyDescent="0.25">
      <c r="A81" s="1" t="str">
        <f>IF(receta!A81="","",receta!A81)</f>
        <v>Madras</v>
      </c>
      <c r="B81" s="1"/>
      <c r="C81" s="4" t="s">
        <v>729</v>
      </c>
      <c r="D81" s="4"/>
      <c r="E81" s="1"/>
      <c r="F81" s="1"/>
      <c r="G81" s="1"/>
      <c r="H81" s="5"/>
      <c r="I81" s="1"/>
      <c r="J81" s="1"/>
      <c r="K81" s="1"/>
    </row>
    <row r="82" spans="1:11" ht="240" x14ac:dyDescent="0.25">
      <c r="A82" s="1" t="str">
        <f>IF(receta!A82="","",receta!A82)</f>
        <v>Mai Tai Piña</v>
      </c>
      <c r="B82" s="4" t="s">
        <v>724</v>
      </c>
      <c r="C82" s="4" t="s">
        <v>727</v>
      </c>
      <c r="D82" s="4"/>
      <c r="E82" s="1"/>
      <c r="F82" s="1"/>
      <c r="G82" s="1" t="s">
        <v>726</v>
      </c>
      <c r="H82" s="5" t="s">
        <v>728</v>
      </c>
      <c r="I82" s="1"/>
      <c r="J82" s="1"/>
      <c r="K82" s="1"/>
    </row>
    <row r="83" spans="1:11" ht="409.5" x14ac:dyDescent="0.25">
      <c r="A83" s="1" t="str">
        <f>IF(receta!A83="","",receta!A83)</f>
        <v>Mala Reputación</v>
      </c>
      <c r="B83" s="1"/>
      <c r="C83" s="4" t="s">
        <v>890</v>
      </c>
      <c r="D83" s="4" t="s">
        <v>304</v>
      </c>
      <c r="E83" s="1" t="s">
        <v>350</v>
      </c>
      <c r="F83" s="5" t="s">
        <v>349</v>
      </c>
      <c r="G83" s="1"/>
      <c r="H83" s="5"/>
      <c r="I83" s="1"/>
      <c r="J83" s="5"/>
      <c r="K83" s="4" t="s">
        <v>889</v>
      </c>
    </row>
    <row r="84" spans="1:11" ht="409.5" x14ac:dyDescent="0.25">
      <c r="A84" s="1" t="str">
        <f>IF(receta!A84="","",receta!A84)</f>
        <v>Malta con Huevo</v>
      </c>
      <c r="B84" s="4" t="s">
        <v>664</v>
      </c>
      <c r="C84" s="4" t="s">
        <v>665</v>
      </c>
      <c r="D84" s="4" t="s">
        <v>880</v>
      </c>
      <c r="E84" s="1"/>
      <c r="F84" s="1"/>
      <c r="G84" s="1" t="s">
        <v>621</v>
      </c>
      <c r="H84" s="1" t="s">
        <v>620</v>
      </c>
      <c r="I84" s="1"/>
      <c r="J84" s="1"/>
      <c r="K84" s="1"/>
    </row>
    <row r="85" spans="1:11" ht="240" x14ac:dyDescent="0.25">
      <c r="A85" s="1" t="str">
        <f>IF(receta!A85="","",receta!A85)</f>
        <v>Malta con Leche Condensada</v>
      </c>
      <c r="B85" s="4" t="s">
        <v>667</v>
      </c>
      <c r="C85" s="4" t="s">
        <v>666</v>
      </c>
      <c r="D85" s="4" t="s">
        <v>879</v>
      </c>
      <c r="E85" s="1"/>
      <c r="F85" s="1"/>
      <c r="G85" s="1" t="s">
        <v>621</v>
      </c>
      <c r="H85" s="1" t="s">
        <v>620</v>
      </c>
      <c r="I85" s="1"/>
      <c r="J85" s="1"/>
      <c r="K85" s="1"/>
    </row>
    <row r="86" spans="1:11" ht="30" x14ac:dyDescent="0.25">
      <c r="A86" s="1" t="str">
        <f>IF(receta!A86="","",receta!A86)</f>
        <v>Mango Sour</v>
      </c>
      <c r="B86" s="4" t="s">
        <v>676</v>
      </c>
      <c r="C86" s="4"/>
      <c r="D86" s="1"/>
      <c r="E86" s="1"/>
      <c r="F86" s="1"/>
      <c r="G86" s="1"/>
      <c r="H86" s="5"/>
      <c r="I86" s="1"/>
      <c r="J86" s="1"/>
      <c r="K86" s="1"/>
    </row>
    <row r="87" spans="1:11" ht="165" x14ac:dyDescent="0.25">
      <c r="A87" s="1" t="str">
        <f>IF(receta!A87="","",receta!A87)</f>
        <v>Manhattan</v>
      </c>
      <c r="B87" s="1"/>
      <c r="C87" s="4" t="s">
        <v>756</v>
      </c>
      <c r="D87" s="1"/>
      <c r="E87" s="1" t="s">
        <v>755</v>
      </c>
      <c r="F87" s="5" t="s">
        <v>754</v>
      </c>
      <c r="G87" s="1" t="s">
        <v>757</v>
      </c>
      <c r="H87" s="5" t="s">
        <v>374</v>
      </c>
      <c r="I87" s="1"/>
      <c r="J87" s="5"/>
      <c r="K87" s="1"/>
    </row>
    <row r="88" spans="1:11" ht="360" x14ac:dyDescent="0.25">
      <c r="A88" s="1" t="str">
        <f>IF(receta!A88="","",receta!A88)</f>
        <v>Maqui Sour</v>
      </c>
      <c r="B88" s="4" t="s">
        <v>747</v>
      </c>
      <c r="C88" s="4" t="s">
        <v>641</v>
      </c>
      <c r="D88" s="4" t="s">
        <v>598</v>
      </c>
      <c r="E88" s="1"/>
      <c r="F88" s="1"/>
      <c r="G88" s="1"/>
      <c r="H88" s="5"/>
      <c r="I88" s="1"/>
      <c r="J88" s="1"/>
      <c r="K88" s="1"/>
    </row>
    <row r="89" spans="1:11" ht="90" x14ac:dyDescent="0.25">
      <c r="A89" s="1" t="str">
        <f>IF(receta!A89="","",receta!A89)</f>
        <v>Margarita</v>
      </c>
      <c r="B89" s="4" t="s">
        <v>643</v>
      </c>
      <c r="C89" s="4" t="s">
        <v>642</v>
      </c>
      <c r="D89" s="1"/>
      <c r="E89" s="1" t="s">
        <v>181</v>
      </c>
      <c r="F89" s="5" t="s">
        <v>180</v>
      </c>
      <c r="G89" s="1"/>
      <c r="H89" s="1"/>
      <c r="I89" s="1"/>
      <c r="J89" s="5"/>
      <c r="K89" s="1"/>
    </row>
    <row r="90" spans="1:11" x14ac:dyDescent="0.25">
      <c r="A90" s="1" t="str">
        <f>IF(receta!A90="","",receta!A90)</f>
        <v>Margarita Maracuyá</v>
      </c>
      <c r="B90" s="1"/>
      <c r="C90" s="1"/>
      <c r="D90" s="1"/>
      <c r="E90" s="1" t="s">
        <v>594</v>
      </c>
      <c r="F90" s="5" t="s">
        <v>412</v>
      </c>
      <c r="G90" s="1"/>
      <c r="H90" s="1"/>
      <c r="I90" s="1"/>
      <c r="J90" s="5"/>
      <c r="K90" s="1"/>
    </row>
    <row r="91" spans="1:11" ht="225" x14ac:dyDescent="0.25">
      <c r="A91" s="1" t="str">
        <f>IF(receta!A91="","",receta!A91)</f>
        <v>Melón con Vino</v>
      </c>
      <c r="B91" s="4" t="s">
        <v>688</v>
      </c>
      <c r="C91" s="4" t="s">
        <v>687</v>
      </c>
      <c r="D91" s="1"/>
      <c r="E91" s="1" t="s">
        <v>335</v>
      </c>
      <c r="F91" s="5" t="s">
        <v>334</v>
      </c>
      <c r="G91" s="1"/>
      <c r="H91" s="1"/>
      <c r="I91" s="1"/>
      <c r="J91" s="5"/>
      <c r="K91" s="1"/>
    </row>
    <row r="92" spans="1:11" ht="375" x14ac:dyDescent="0.25">
      <c r="A92" s="1" t="str">
        <f>IF(receta!A92="","",receta!A92)</f>
        <v>Michelada</v>
      </c>
      <c r="B92" s="4" t="s">
        <v>848</v>
      </c>
      <c r="C92" s="4" t="s">
        <v>849</v>
      </c>
      <c r="D92" s="4" t="s">
        <v>403</v>
      </c>
      <c r="E92" s="1" t="s">
        <v>178</v>
      </c>
      <c r="F92" s="5" t="s">
        <v>179</v>
      </c>
      <c r="G92" s="1"/>
      <c r="H92" s="1"/>
      <c r="I92" s="1"/>
      <c r="J92" s="5"/>
      <c r="K92" s="1"/>
    </row>
    <row r="93" spans="1:11" ht="150" x14ac:dyDescent="0.25">
      <c r="A93" s="1" t="str">
        <f>IF(receta!A93="","",receta!A93)</f>
        <v>Milano Torino</v>
      </c>
      <c r="B93" s="1"/>
      <c r="C93" s="4" t="s">
        <v>541</v>
      </c>
      <c r="D93" s="1"/>
      <c r="E93" s="1"/>
      <c r="F93" s="1"/>
      <c r="G93" s="1"/>
      <c r="H93" s="1"/>
      <c r="I93" s="1"/>
      <c r="J93" s="1"/>
      <c r="K93" s="1"/>
    </row>
    <row r="94" spans="1:11" ht="180" x14ac:dyDescent="0.25">
      <c r="A94" s="1" t="str">
        <f>IF(receta!A94="","",receta!A94)</f>
        <v>Mimosa</v>
      </c>
      <c r="B94" s="1"/>
      <c r="C94" s="4" t="s">
        <v>364</v>
      </c>
      <c r="D94" s="1"/>
      <c r="E94" s="1"/>
      <c r="F94" s="1"/>
      <c r="G94" s="1"/>
      <c r="H94" s="1"/>
      <c r="I94" s="1"/>
      <c r="J94" s="1"/>
      <c r="K94" s="1"/>
    </row>
    <row r="95" spans="1:11" ht="225" x14ac:dyDescent="0.25">
      <c r="A95" s="1" t="str">
        <f>IF(receta!A95="","",receta!A95)</f>
        <v>Mojito</v>
      </c>
      <c r="B95" s="4" t="s">
        <v>645</v>
      </c>
      <c r="C95" s="4" t="s">
        <v>644</v>
      </c>
      <c r="D95" s="4"/>
      <c r="E95" s="1"/>
      <c r="F95" s="1"/>
      <c r="G95" s="1"/>
      <c r="H95" s="5"/>
      <c r="I95" s="1"/>
      <c r="J95" s="1"/>
      <c r="K95" s="1"/>
    </row>
    <row r="96" spans="1:11" ht="60" x14ac:dyDescent="0.25">
      <c r="A96" s="1" t="str">
        <f>IF(receta!A96="","",receta!A96)</f>
        <v>Mojito (Sin Alcohol)</v>
      </c>
      <c r="B96" s="1"/>
      <c r="C96" s="4" t="s">
        <v>584</v>
      </c>
      <c r="D96" s="4"/>
      <c r="E96" s="1"/>
      <c r="F96" s="1"/>
      <c r="G96" s="1"/>
      <c r="H96" s="5"/>
      <c r="I96" s="1"/>
      <c r="J96" s="1"/>
      <c r="K96" s="1"/>
    </row>
    <row r="97" spans="1:11" ht="60" x14ac:dyDescent="0.25">
      <c r="A97" s="1" t="str">
        <f>IF(receta!A97="","",receta!A97)</f>
        <v>Mojito Maracuyá</v>
      </c>
      <c r="B97" s="1"/>
      <c r="C97" s="4" t="s">
        <v>583</v>
      </c>
      <c r="D97" s="4"/>
      <c r="E97" s="1"/>
      <c r="F97" s="1"/>
      <c r="G97" s="4"/>
      <c r="H97" s="1"/>
      <c r="I97" s="1"/>
      <c r="J97" s="1"/>
      <c r="K97" s="1"/>
    </row>
    <row r="98" spans="1:11" ht="60" x14ac:dyDescent="0.25">
      <c r="A98" s="1" t="str">
        <f>IF(receta!A98="","",receta!A98)</f>
        <v>Mojito Spritz</v>
      </c>
      <c r="B98" s="1"/>
      <c r="C98" s="4" t="s">
        <v>730</v>
      </c>
      <c r="D98" s="4"/>
      <c r="E98" s="1"/>
      <c r="F98" s="1"/>
      <c r="G98" s="1"/>
      <c r="H98" s="5"/>
      <c r="I98" s="1"/>
      <c r="J98" s="1"/>
      <c r="K98" s="1"/>
    </row>
    <row r="99" spans="1:11" ht="375" x14ac:dyDescent="0.25">
      <c r="A99" s="1" t="str">
        <f>IF(receta!A99="","",receta!A99)</f>
        <v>Moscow Mule</v>
      </c>
      <c r="B99" s="1"/>
      <c r="C99" s="4" t="s">
        <v>322</v>
      </c>
      <c r="D99" s="4"/>
      <c r="E99" s="1" t="s">
        <v>167</v>
      </c>
      <c r="F99" s="5" t="s">
        <v>168</v>
      </c>
      <c r="G99" s="1"/>
      <c r="H99" s="1"/>
      <c r="I99" s="1"/>
      <c r="J99" s="5"/>
      <c r="K99" s="1"/>
    </row>
    <row r="100" spans="1:11" ht="120" x14ac:dyDescent="0.25">
      <c r="A100" s="1" t="str">
        <f>IF(receta!A100="","",receta!A100)</f>
        <v>Naranja Sour</v>
      </c>
      <c r="B100" s="4" t="s">
        <v>731</v>
      </c>
      <c r="C100" s="4" t="s">
        <v>372</v>
      </c>
      <c r="D100" s="4"/>
      <c r="E100" s="1" t="s">
        <v>341</v>
      </c>
      <c r="F100" s="5" t="s">
        <v>340</v>
      </c>
      <c r="G100" s="1"/>
      <c r="H100" s="1"/>
      <c r="I100" s="1"/>
      <c r="J100" s="5"/>
      <c r="K100" s="1"/>
    </row>
    <row r="101" spans="1:11" ht="195" x14ac:dyDescent="0.25">
      <c r="A101" s="1" t="str">
        <f>IF(receta!A101="","",receta!A101)</f>
        <v>Negativismo Lógico</v>
      </c>
      <c r="B101" s="1"/>
      <c r="C101" s="4" t="s">
        <v>741</v>
      </c>
      <c r="D101" s="4"/>
      <c r="E101" s="4"/>
      <c r="F101" s="1"/>
      <c r="G101" s="4" t="s">
        <v>325</v>
      </c>
      <c r="H101" s="1" t="s">
        <v>267</v>
      </c>
      <c r="I101" s="4"/>
      <c r="J101" s="1"/>
      <c r="K101" s="1"/>
    </row>
    <row r="102" spans="1:11" ht="210" x14ac:dyDescent="0.25">
      <c r="A102" s="1" t="str">
        <f>IF(receta!A102="","",receta!A102)</f>
        <v>Negroni</v>
      </c>
      <c r="B102" s="1"/>
      <c r="C102" s="4" t="s">
        <v>375</v>
      </c>
      <c r="D102" s="4" t="s">
        <v>224</v>
      </c>
      <c r="E102" s="1"/>
      <c r="F102" s="1"/>
      <c r="G102" s="1"/>
      <c r="H102" s="1"/>
      <c r="I102" s="1"/>
      <c r="J102" s="1"/>
      <c r="K102" s="1"/>
    </row>
    <row r="103" spans="1:11" ht="150" x14ac:dyDescent="0.25">
      <c r="A103" s="1" t="str">
        <f>IF(receta!A103="","",receta!A103)</f>
        <v>Negroni Sbagliato</v>
      </c>
      <c r="B103" s="1"/>
      <c r="C103" s="4" t="s">
        <v>597</v>
      </c>
      <c r="D103" s="1"/>
      <c r="E103" s="1"/>
      <c r="F103" s="1"/>
      <c r="G103" s="1"/>
      <c r="H103" s="1"/>
      <c r="I103" s="1"/>
      <c r="J103" s="1"/>
      <c r="K103" s="1"/>
    </row>
    <row r="104" spans="1:11" ht="345" x14ac:dyDescent="0.25">
      <c r="A104" s="1" t="str">
        <f>IF(receta!A104="","",receta!A104)</f>
        <v>New York Sour</v>
      </c>
      <c r="B104" s="4" t="s">
        <v>748</v>
      </c>
      <c r="C104" s="4" t="s">
        <v>646</v>
      </c>
      <c r="D104" s="4" t="s">
        <v>486</v>
      </c>
      <c r="E104" s="1" t="s">
        <v>482</v>
      </c>
      <c r="F104" s="5" t="s">
        <v>481</v>
      </c>
      <c r="G104" s="1"/>
      <c r="H104" s="1"/>
      <c r="I104" s="1"/>
      <c r="J104" s="5"/>
      <c r="K104" s="1"/>
    </row>
    <row r="105" spans="1:11" x14ac:dyDescent="0.25">
      <c r="A105" s="1" t="str">
        <f>IF(receta!A105="","",receta!A105)</f>
        <v>No Me Falles</v>
      </c>
      <c r="B105" s="1"/>
      <c r="C105" s="1" t="s">
        <v>372</v>
      </c>
      <c r="D105" s="1"/>
      <c r="E105" s="1" t="s">
        <v>205</v>
      </c>
      <c r="F105" s="1" t="s">
        <v>206</v>
      </c>
      <c r="G105" s="1"/>
      <c r="H105" s="1"/>
      <c r="I105" s="1"/>
      <c r="J105" s="1"/>
      <c r="K105" s="1"/>
    </row>
    <row r="106" spans="1:11" ht="240" x14ac:dyDescent="0.25">
      <c r="A106" s="1" t="str">
        <f>IF(receta!A106="","",receta!A106)</f>
        <v>Old Fashioned</v>
      </c>
      <c r="B106" s="4" t="s">
        <v>647</v>
      </c>
      <c r="C106" s="4"/>
      <c r="D106" s="4" t="s">
        <v>568</v>
      </c>
      <c r="E106" s="1"/>
      <c r="F106" s="1"/>
      <c r="G106" s="1"/>
      <c r="H106" s="1"/>
      <c r="I106" s="1"/>
      <c r="J106" s="1"/>
      <c r="K106" s="1"/>
    </row>
    <row r="107" spans="1:11" ht="192" customHeight="1" x14ac:dyDescent="0.25">
      <c r="A107" s="1" t="str">
        <f>IF(receta!A107="","",receta!A107)</f>
        <v>Padrino</v>
      </c>
      <c r="B107" s="1"/>
      <c r="C107" s="4" t="s">
        <v>347</v>
      </c>
      <c r="D107" s="1"/>
      <c r="E107" s="1"/>
      <c r="F107" s="1"/>
      <c r="G107" s="6"/>
      <c r="H107" s="5"/>
      <c r="I107" s="1"/>
      <c r="J107" s="1"/>
      <c r="K107" s="1"/>
    </row>
    <row r="108" spans="1:11" ht="195" x14ac:dyDescent="0.25">
      <c r="A108" s="1" t="str">
        <f>IF(receta!A108="","",receta!A108)</f>
        <v>Paloma</v>
      </c>
      <c r="B108" s="4" t="s">
        <v>649</v>
      </c>
      <c r="C108" s="4" t="s">
        <v>648</v>
      </c>
      <c r="D108" s="1"/>
      <c r="E108" s="1" t="s">
        <v>532</v>
      </c>
      <c r="F108" s="1" t="s">
        <v>531</v>
      </c>
      <c r="G108" s="1" t="s">
        <v>351</v>
      </c>
      <c r="H108" s="5" t="s">
        <v>256</v>
      </c>
      <c r="I108" s="1"/>
      <c r="J108" s="1"/>
      <c r="K108" s="1"/>
    </row>
    <row r="109" spans="1:11" ht="105" x14ac:dyDescent="0.25">
      <c r="A109" s="1" t="str">
        <f>IF(receta!A109="","",receta!A109)</f>
        <v>Parrón</v>
      </c>
      <c r="B109" s="4" t="s">
        <v>581</v>
      </c>
      <c r="C109" s="4"/>
      <c r="D109" s="4"/>
      <c r="E109" s="1"/>
      <c r="F109" s="1"/>
      <c r="G109" s="1"/>
      <c r="H109" s="1"/>
      <c r="I109" s="1"/>
      <c r="J109" s="1"/>
      <c r="K109" s="1"/>
    </row>
    <row r="110" spans="1:11" ht="90" x14ac:dyDescent="0.25">
      <c r="A110" s="1" t="str">
        <f>IF(receta!A110="","",receta!A110)</f>
        <v>Penicilina</v>
      </c>
      <c r="B110" s="4" t="s">
        <v>679</v>
      </c>
      <c r="C110" s="4" t="s">
        <v>678</v>
      </c>
      <c r="D110" s="1"/>
      <c r="E110" s="4" t="s">
        <v>588</v>
      </c>
      <c r="F110" s="5" t="s">
        <v>548</v>
      </c>
      <c r="G110" s="1"/>
      <c r="H110" s="1"/>
      <c r="I110" s="4"/>
      <c r="J110" s="5"/>
      <c r="K110" s="1"/>
    </row>
    <row r="111" spans="1:11" x14ac:dyDescent="0.25">
      <c r="A111" s="1" t="str">
        <f>IF(receta!A111="","",receta!A111)</f>
        <v>Phil Collins</v>
      </c>
      <c r="B111" s="1"/>
      <c r="C111" s="4" t="s">
        <v>502</v>
      </c>
      <c r="D111" s="1"/>
      <c r="E111" s="1" t="s">
        <v>503</v>
      </c>
      <c r="F111" s="5" t="s">
        <v>506</v>
      </c>
      <c r="G111" s="1"/>
      <c r="H111" s="1"/>
      <c r="I111" s="1"/>
      <c r="J111" s="5"/>
      <c r="K111" s="1"/>
    </row>
    <row r="112" spans="1:11" ht="120" x14ac:dyDescent="0.25">
      <c r="A112" s="1" t="str">
        <f>IF(receta!A112="","",receta!A112)</f>
        <v>Pichuncho</v>
      </c>
      <c r="B112" s="1"/>
      <c r="C112" s="4" t="s">
        <v>378</v>
      </c>
      <c r="D112" s="1"/>
      <c r="E112" s="1" t="s">
        <v>488</v>
      </c>
      <c r="F112" s="5" t="s">
        <v>487</v>
      </c>
      <c r="G112" s="1"/>
      <c r="H112" s="5"/>
      <c r="I112" s="1"/>
      <c r="J112" s="5"/>
      <c r="K112" s="1"/>
    </row>
    <row r="113" spans="1:11" ht="195" x14ac:dyDescent="0.25">
      <c r="A113" s="1" t="str">
        <f>IF(receta!A113="","",receta!A113)</f>
        <v>Piña Colada</v>
      </c>
      <c r="B113" s="1"/>
      <c r="C113" s="4" t="s">
        <v>467</v>
      </c>
      <c r="D113" s="5"/>
      <c r="E113" s="6" t="s">
        <v>418</v>
      </c>
      <c r="F113" s="5" t="s">
        <v>158</v>
      </c>
      <c r="G113" s="6"/>
      <c r="H113" s="5"/>
      <c r="I113" s="6"/>
      <c r="J113" s="5"/>
      <c r="K113" s="1"/>
    </row>
    <row r="114" spans="1:11" x14ac:dyDescent="0.25">
      <c r="A114" s="1" t="str">
        <f>IF(receta!A114="","",receta!A114)</f>
        <v>Piña Colada (Sin Alcohol)</v>
      </c>
      <c r="B114" s="1"/>
      <c r="C114" s="4" t="s">
        <v>320</v>
      </c>
      <c r="D114" s="1"/>
      <c r="E114" s="1"/>
      <c r="F114" s="1"/>
      <c r="G114" s="1"/>
      <c r="H114" s="5"/>
      <c r="I114" s="1"/>
      <c r="J114" s="1"/>
      <c r="K114" s="1"/>
    </row>
    <row r="115" spans="1:11" ht="195" x14ac:dyDescent="0.25">
      <c r="A115" s="1" t="str">
        <f>IF(receta!A115="","",receta!A115)</f>
        <v>Pisco Punch</v>
      </c>
      <c r="B115" s="1"/>
      <c r="C115" s="4" t="s">
        <v>323</v>
      </c>
      <c r="D115" s="4"/>
      <c r="E115" s="1"/>
      <c r="F115" s="1"/>
      <c r="G115" s="1"/>
      <c r="H115" s="5"/>
      <c r="I115" s="1"/>
      <c r="J115" s="1"/>
      <c r="K115" s="1"/>
    </row>
    <row r="116" spans="1:11" ht="409.5" x14ac:dyDescent="0.25">
      <c r="A116" s="1" t="str">
        <f>IF(receta!A116="","",receta!A116)</f>
        <v>Pisco Sour</v>
      </c>
      <c r="B116" s="4" t="s">
        <v>358</v>
      </c>
      <c r="C116" s="4"/>
      <c r="D116" s="4" t="s">
        <v>360</v>
      </c>
      <c r="E116" s="1" t="s">
        <v>161</v>
      </c>
      <c r="F116" s="5" t="s">
        <v>162</v>
      </c>
      <c r="G116" s="1"/>
      <c r="H116" s="5"/>
      <c r="I116" s="1"/>
      <c r="J116" s="5"/>
      <c r="K116" s="1"/>
    </row>
    <row r="117" spans="1:11" ht="210" x14ac:dyDescent="0.25">
      <c r="A117" s="1" t="str">
        <f>IF(receta!A117="","",receta!A117)</f>
        <v>Piscola</v>
      </c>
      <c r="B117" s="4" t="s">
        <v>651</v>
      </c>
      <c r="C117" s="4" t="s">
        <v>650</v>
      </c>
      <c r="D117" s="5"/>
      <c r="E117" s="1" t="s">
        <v>156</v>
      </c>
      <c r="F117" s="5" t="s">
        <v>419</v>
      </c>
      <c r="G117" s="1"/>
      <c r="H117" s="1"/>
      <c r="I117" s="1"/>
      <c r="J117" s="5"/>
      <c r="K117" s="1"/>
    </row>
    <row r="118" spans="1:11" ht="90" x14ac:dyDescent="0.25">
      <c r="A118" s="1" t="str">
        <f>IF(receta!A118="","",receta!A118)</f>
        <v>Pistón</v>
      </c>
      <c r="B118" s="4" t="s">
        <v>653</v>
      </c>
      <c r="C118" s="4" t="s">
        <v>652</v>
      </c>
      <c r="D118" s="1"/>
      <c r="E118" s="1" t="s">
        <v>504</v>
      </c>
      <c r="F118" s="5" t="s">
        <v>505</v>
      </c>
      <c r="G118" s="1"/>
      <c r="H118" s="1"/>
      <c r="I118" s="1"/>
      <c r="J118" s="5"/>
      <c r="K118" s="1"/>
    </row>
    <row r="119" spans="1:11" ht="375" x14ac:dyDescent="0.25">
      <c r="A119" s="1" t="str">
        <f>IF(receta!A119="","",receta!A119)</f>
        <v>Quédate</v>
      </c>
      <c r="B119" s="1"/>
      <c r="C119" s="1" t="s">
        <v>372</v>
      </c>
      <c r="D119" s="4" t="s">
        <v>458</v>
      </c>
      <c r="E119" s="1"/>
      <c r="F119" s="5"/>
      <c r="G119" s="1" t="s">
        <v>289</v>
      </c>
      <c r="H119" s="5" t="s">
        <v>288</v>
      </c>
      <c r="I119" s="1"/>
      <c r="J119" s="5"/>
      <c r="K119" s="1"/>
    </row>
    <row r="120" spans="1:11" ht="75" x14ac:dyDescent="0.25">
      <c r="A120" s="1" t="str">
        <f>IF(receta!A120="","",receta!A120)</f>
        <v>Ramazzotti Spritz</v>
      </c>
      <c r="B120" s="1"/>
      <c r="C120" s="4" t="s">
        <v>354</v>
      </c>
      <c r="D120" s="1"/>
      <c r="E120" s="1" t="s">
        <v>377</v>
      </c>
      <c r="F120" s="5" t="s">
        <v>376</v>
      </c>
      <c r="G120" s="1"/>
      <c r="H120" s="1"/>
      <c r="I120" s="1"/>
      <c r="J120" s="5"/>
      <c r="K120" s="1"/>
    </row>
    <row r="121" spans="1:11" ht="120" x14ac:dyDescent="0.25">
      <c r="A121" s="1" t="str">
        <f>IF(receta!A121="","",receta!A121)</f>
        <v>Ramazzotti Violetto Spritz</v>
      </c>
      <c r="B121" s="1"/>
      <c r="C121" s="4" t="s">
        <v>752</v>
      </c>
      <c r="D121" s="1"/>
      <c r="E121" s="1"/>
      <c r="F121" s="1"/>
      <c r="G121" s="1"/>
      <c r="H121" s="1"/>
      <c r="I121" s="1"/>
      <c r="J121" s="1"/>
      <c r="K121" s="1"/>
    </row>
    <row r="122" spans="1:11" ht="30" x14ac:dyDescent="0.25">
      <c r="A122" s="1" t="str">
        <f>IF(receta!A122="","",receta!A122)</f>
        <v>Ron Cola</v>
      </c>
      <c r="B122" s="1"/>
      <c r="C122" s="4" t="s">
        <v>539</v>
      </c>
      <c r="D122" s="1"/>
      <c r="E122" s="1" t="s">
        <v>513</v>
      </c>
      <c r="F122" s="1" t="s">
        <v>512</v>
      </c>
      <c r="G122" s="1"/>
      <c r="H122" s="1"/>
      <c r="I122" s="1"/>
      <c r="J122" s="1"/>
      <c r="K122" s="1"/>
    </row>
    <row r="123" spans="1:11" ht="135" x14ac:dyDescent="0.25">
      <c r="A123" s="1" t="str">
        <f>IF(receta!A123="","",receta!A123)</f>
        <v>Ruso Blanco</v>
      </c>
      <c r="B123" s="1"/>
      <c r="C123" s="4" t="s">
        <v>654</v>
      </c>
      <c r="D123" s="4" t="s">
        <v>252</v>
      </c>
      <c r="E123" s="1"/>
      <c r="F123" s="5"/>
      <c r="G123" s="1" t="s">
        <v>342</v>
      </c>
      <c r="H123" s="5" t="s">
        <v>176</v>
      </c>
      <c r="I123" s="1"/>
      <c r="J123" s="5"/>
      <c r="K123" s="1"/>
    </row>
    <row r="124" spans="1:11" ht="409.5" x14ac:dyDescent="0.25">
      <c r="A124" s="1" t="str">
        <f>IF(receta!A124="","",receta!A124)</f>
        <v>Ruso Negro</v>
      </c>
      <c r="B124" s="1"/>
      <c r="C124" s="4" t="s">
        <v>468</v>
      </c>
      <c r="D124" s="4" t="s">
        <v>357</v>
      </c>
      <c r="E124" s="1"/>
      <c r="F124" s="1"/>
      <c r="G124" s="1"/>
      <c r="H124" s="1"/>
      <c r="I124" s="1"/>
      <c r="J124" s="1"/>
      <c r="K124" s="1"/>
    </row>
    <row r="125" spans="1:11" ht="330" x14ac:dyDescent="0.25">
      <c r="A125" s="1" t="str">
        <f>IF(receta!A125="","",receta!A125)</f>
        <v>Sangría</v>
      </c>
      <c r="B125" s="4" t="s">
        <v>656</v>
      </c>
      <c r="C125" s="4" t="s">
        <v>655</v>
      </c>
      <c r="D125" s="4" t="s">
        <v>395</v>
      </c>
      <c r="E125" s="1" t="s">
        <v>392</v>
      </c>
      <c r="F125" s="5" t="s">
        <v>391</v>
      </c>
      <c r="G125" s="1"/>
      <c r="H125" s="1"/>
      <c r="I125" s="1"/>
      <c r="J125" s="1"/>
      <c r="K125" s="1"/>
    </row>
    <row r="126" spans="1:11" ht="255" x14ac:dyDescent="0.25">
      <c r="A126" s="1" t="str">
        <f>IF(receta!A126="","",receta!A126)</f>
        <v>Sangrita</v>
      </c>
      <c r="B126" s="1"/>
      <c r="C126" s="4" t="s">
        <v>545</v>
      </c>
      <c r="D126" s="1"/>
      <c r="E126" s="1"/>
      <c r="F126" s="1"/>
      <c r="G126" s="1"/>
      <c r="H126" s="1"/>
      <c r="I126" s="1"/>
      <c r="J126" s="1"/>
      <c r="K126" s="1"/>
    </row>
    <row r="127" spans="1:11" ht="165" x14ac:dyDescent="0.25">
      <c r="A127" s="1" t="str">
        <f>IF(receta!A127="","",receta!A127)</f>
        <v>Sea Breeze</v>
      </c>
      <c r="B127" s="1"/>
      <c r="C127" s="4" t="s">
        <v>725</v>
      </c>
      <c r="D127" s="1"/>
      <c r="E127" s="1" t="s">
        <v>559</v>
      </c>
      <c r="F127" s="1" t="s">
        <v>558</v>
      </c>
      <c r="G127" s="1"/>
      <c r="H127" s="5"/>
      <c r="I127" s="1"/>
      <c r="J127" s="1"/>
      <c r="K127" s="1"/>
    </row>
    <row r="128" spans="1:11" ht="409.5" x14ac:dyDescent="0.25">
      <c r="A128" s="1" t="str">
        <f>IF(receta!A128="","",receta!A128)</f>
        <v>Serena Libre</v>
      </c>
      <c r="B128" s="1"/>
      <c r="C128" s="4" t="s">
        <v>324</v>
      </c>
      <c r="D128" s="4"/>
      <c r="E128" s="1"/>
      <c r="F128" s="1"/>
      <c r="G128" s="1"/>
      <c r="H128" s="1"/>
      <c r="I128" s="1"/>
      <c r="J128" s="1"/>
      <c r="K128" s="1"/>
    </row>
    <row r="129" spans="1:11" ht="270" x14ac:dyDescent="0.25">
      <c r="A129" s="1" t="str">
        <f>IF(receta!A129="","",receta!A129)</f>
        <v>Sexo en la Playa</v>
      </c>
      <c r="B129" s="1"/>
      <c r="C129" s="4" t="s">
        <v>370</v>
      </c>
      <c r="D129" s="1"/>
      <c r="E129" s="1"/>
      <c r="F129" s="1"/>
      <c r="G129" s="1"/>
      <c r="H129" s="1"/>
      <c r="I129" s="1"/>
      <c r="J129" s="1"/>
      <c r="K129" s="1"/>
    </row>
    <row r="130" spans="1:11" ht="45" x14ac:dyDescent="0.25">
      <c r="A130" s="1" t="str">
        <f>IF(receta!A130="","",receta!A130)</f>
        <v>Sexo Seguro en la Playa</v>
      </c>
      <c r="B130" s="1"/>
      <c r="C130" s="4" t="s">
        <v>371</v>
      </c>
      <c r="D130" s="1"/>
      <c r="E130" s="1"/>
      <c r="F130" s="1"/>
      <c r="G130" s="1"/>
      <c r="H130" s="1"/>
      <c r="I130" s="1"/>
      <c r="J130" s="1"/>
      <c r="K130" s="1"/>
    </row>
    <row r="131" spans="1:11" ht="210" x14ac:dyDescent="0.25">
      <c r="A131" s="1" t="str">
        <f>IF(receta!A131="","",receta!A131)</f>
        <v>Sidecar</v>
      </c>
      <c r="B131" s="1"/>
      <c r="C131" s="4" t="s">
        <v>469</v>
      </c>
      <c r="D131" s="4"/>
      <c r="E131" s="1"/>
      <c r="F131" s="1"/>
      <c r="G131" s="1"/>
      <c r="H131" s="5"/>
      <c r="I131" s="1"/>
      <c r="J131" s="1"/>
      <c r="K131" s="1"/>
    </row>
    <row r="132" spans="1:11" x14ac:dyDescent="0.25">
      <c r="A132" s="1" t="str">
        <f>IF(receta!A132="","",receta!A132)</f>
        <v>Síndrome Impostor</v>
      </c>
      <c r="B132" s="1"/>
      <c r="C132" s="1" t="s">
        <v>372</v>
      </c>
      <c r="D132" s="1"/>
      <c r="E132" s="1" t="s">
        <v>164</v>
      </c>
      <c r="F132" s="5" t="s">
        <v>163</v>
      </c>
      <c r="G132" s="1"/>
      <c r="H132" s="1"/>
      <c r="I132" s="1"/>
      <c r="J132" s="5"/>
      <c r="K132" s="1"/>
    </row>
    <row r="133" spans="1:11" x14ac:dyDescent="0.25">
      <c r="A133" s="1" t="str">
        <f>IF(receta!A133="","",receta!A133)</f>
        <v>Sour (Sin Alcohol)</v>
      </c>
      <c r="B133" s="1"/>
      <c r="C133" s="4" t="s">
        <v>320</v>
      </c>
      <c r="D133" s="4"/>
      <c r="E133" s="1"/>
      <c r="F133" s="1"/>
      <c r="G133" s="1"/>
      <c r="H133" s="1"/>
      <c r="I133" s="1"/>
      <c r="J133" s="1"/>
      <c r="K133" s="1"/>
    </row>
    <row r="134" spans="1:11" ht="409.5" x14ac:dyDescent="0.25">
      <c r="A134" s="1" t="str">
        <f>IF(receta!A134="","",receta!A134)</f>
        <v>Tequila Sunrise</v>
      </c>
      <c r="B134" s="1"/>
      <c r="C134" s="4" t="s">
        <v>591</v>
      </c>
      <c r="D134" s="4" t="s">
        <v>600</v>
      </c>
      <c r="E134" s="4" t="s">
        <v>593</v>
      </c>
      <c r="F134" s="5" t="s">
        <v>592</v>
      </c>
      <c r="G134" s="4"/>
      <c r="H134" s="5"/>
      <c r="I134" s="4"/>
      <c r="J134" s="5"/>
      <c r="K134" s="1"/>
    </row>
    <row r="135" spans="1:11" ht="150" x14ac:dyDescent="0.25">
      <c r="A135" s="1" t="str">
        <f>IF(receta!A135="","",receta!A135)</f>
        <v>Terremoto</v>
      </c>
      <c r="B135" s="4" t="s">
        <v>657</v>
      </c>
      <c r="C135" s="4" t="s">
        <v>833</v>
      </c>
      <c r="D135" s="4"/>
      <c r="E135" s="1"/>
      <c r="F135" s="1"/>
      <c r="G135" s="1"/>
      <c r="H135" s="1"/>
      <c r="I135" s="1"/>
      <c r="J135" s="1"/>
      <c r="K135" s="1"/>
    </row>
    <row r="136" spans="1:11" ht="180" x14ac:dyDescent="0.25">
      <c r="A136" s="1" t="str">
        <f>IF(receta!A136="","",receta!A136)</f>
        <v>Terremoto (Sin Alcohol)</v>
      </c>
      <c r="B136" s="4" t="s">
        <v>659</v>
      </c>
      <c r="C136" s="4" t="s">
        <v>658</v>
      </c>
      <c r="D136" s="4"/>
      <c r="E136" s="1" t="s">
        <v>295</v>
      </c>
      <c r="F136" s="5" t="s">
        <v>296</v>
      </c>
      <c r="G136" s="1"/>
      <c r="H136" s="1"/>
      <c r="I136" s="1"/>
      <c r="J136" s="5"/>
      <c r="K136" s="1"/>
    </row>
    <row r="137" spans="1:11" ht="409.5" x14ac:dyDescent="0.25">
      <c r="A137" s="1" t="str">
        <f>IF(receta!A137="","",receta!A137)</f>
        <v>Tinto de Verano</v>
      </c>
      <c r="B137" s="13"/>
      <c r="C137" s="1"/>
      <c r="D137" s="4" t="s">
        <v>435</v>
      </c>
      <c r="E137" s="1"/>
      <c r="F137" s="1"/>
      <c r="G137" s="1"/>
      <c r="H137" s="1"/>
      <c r="I137" s="1"/>
      <c r="J137" s="1"/>
      <c r="K137" s="1"/>
    </row>
    <row r="138" spans="1:11" ht="409.5" x14ac:dyDescent="0.25">
      <c r="A138" s="1" t="str">
        <f>IF(receta!A138="","",receta!A138)</f>
        <v>Tom Collins</v>
      </c>
      <c r="B138" s="4"/>
      <c r="C138" s="4" t="s">
        <v>764</v>
      </c>
      <c r="D138" s="1"/>
      <c r="E138" s="1"/>
      <c r="F138" s="1"/>
      <c r="G138" s="1"/>
      <c r="H138" s="1"/>
      <c r="I138" s="1"/>
      <c r="J138" s="1"/>
      <c r="K138" s="1"/>
    </row>
    <row r="139" spans="1:11" ht="195" x14ac:dyDescent="0.25">
      <c r="A139" s="1" t="str">
        <f>IF(receta!A139="","",receta!A139)</f>
        <v>Trikahue</v>
      </c>
      <c r="B139" s="1"/>
      <c r="C139" s="4" t="s">
        <v>587</v>
      </c>
      <c r="D139" s="4"/>
      <c r="E139" s="1"/>
      <c r="F139" s="1"/>
      <c r="G139" s="1" t="s">
        <v>416</v>
      </c>
      <c r="H139" s="1" t="s">
        <v>415</v>
      </c>
      <c r="I139" s="1"/>
      <c r="J139" s="1"/>
      <c r="K139" s="1"/>
    </row>
    <row r="140" spans="1:11" ht="409.5" x14ac:dyDescent="0.25">
      <c r="A140" s="1" t="str">
        <f>IF(receta!A140="","",receta!A140)</f>
        <v>Tropezón</v>
      </c>
      <c r="B140" s="4" t="s">
        <v>709</v>
      </c>
      <c r="C140" s="4" t="s">
        <v>708</v>
      </c>
      <c r="D140" s="4" t="s">
        <v>345</v>
      </c>
      <c r="E140" s="1" t="s">
        <v>421</v>
      </c>
      <c r="F140" s="5" t="s">
        <v>420</v>
      </c>
      <c r="G140" s="1"/>
      <c r="H140" s="1"/>
      <c r="I140" s="1"/>
      <c r="J140" s="5"/>
      <c r="K140" s="1"/>
    </row>
    <row r="141" spans="1:11" ht="409.5" x14ac:dyDescent="0.25">
      <c r="A141" s="1" t="str">
        <f>IF(receta!A141="","",receta!A141)</f>
        <v>Vaina</v>
      </c>
      <c r="B141" s="4" t="s">
        <v>749</v>
      </c>
      <c r="C141" s="4" t="s">
        <v>689</v>
      </c>
      <c r="D141" s="4" t="s">
        <v>912</v>
      </c>
      <c r="E141" s="4" t="s">
        <v>616</v>
      </c>
      <c r="F141" s="4" t="s">
        <v>617</v>
      </c>
      <c r="G141" s="1"/>
      <c r="H141" s="1"/>
      <c r="I141" s="4"/>
      <c r="J141" s="4"/>
      <c r="K141" s="1"/>
    </row>
    <row r="142" spans="1:11" ht="60" x14ac:dyDescent="0.25">
      <c r="A142" s="1" t="str">
        <f>IF(receta!A142="","",receta!A142)</f>
        <v>Valentín</v>
      </c>
      <c r="B142" s="1"/>
      <c r="C142" s="4" t="s">
        <v>660</v>
      </c>
      <c r="D142" s="4"/>
      <c r="E142" s="4" t="s">
        <v>247</v>
      </c>
      <c r="F142" s="5" t="s">
        <v>246</v>
      </c>
      <c r="G142" s="1"/>
      <c r="H142" s="1"/>
      <c r="I142" s="4"/>
      <c r="J142" s="5"/>
      <c r="K142" s="1"/>
    </row>
    <row r="143" spans="1:11" ht="409.5" x14ac:dyDescent="0.25">
      <c r="A143" s="1" t="str">
        <f>IF(receta!A143="","",receta!A143)</f>
        <v>Vampiro</v>
      </c>
      <c r="B143" s="4" t="s">
        <v>662</v>
      </c>
      <c r="C143" s="4" t="s">
        <v>661</v>
      </c>
      <c r="D143" s="4" t="s">
        <v>544</v>
      </c>
      <c r="E143" s="1" t="s">
        <v>542</v>
      </c>
      <c r="F143" s="1" t="s">
        <v>543</v>
      </c>
      <c r="G143" s="1"/>
      <c r="H143" s="1"/>
      <c r="I143" s="1"/>
      <c r="J143" s="1"/>
      <c r="K143" s="1"/>
    </row>
    <row r="144" spans="1:11" ht="409.5" x14ac:dyDescent="0.25">
      <c r="A144" s="1" t="str">
        <f>IF(receta!A144="","",receta!A144)</f>
        <v>Venganza</v>
      </c>
      <c r="B144" s="1"/>
      <c r="C144" s="1" t="s">
        <v>372</v>
      </c>
      <c r="D144" s="4" t="s">
        <v>348</v>
      </c>
      <c r="E144" s="1" t="s">
        <v>311</v>
      </c>
      <c r="F144" s="1" t="s">
        <v>310</v>
      </c>
      <c r="G144" s="1"/>
      <c r="H144" s="1"/>
      <c r="I144" s="1"/>
      <c r="J144" s="1"/>
      <c r="K144" s="1"/>
    </row>
    <row r="145" spans="1:11" ht="409.5" x14ac:dyDescent="0.25">
      <c r="A145" s="1" t="str">
        <f>IF(receta!A145="","",receta!A145)</f>
        <v>Vermouth con Soda</v>
      </c>
      <c r="B145" s="4" t="s">
        <v>663</v>
      </c>
      <c r="C145" s="4" t="s">
        <v>753</v>
      </c>
      <c r="D145" s="4" t="s">
        <v>590</v>
      </c>
      <c r="E145" s="1" t="s">
        <v>550</v>
      </c>
      <c r="F145" s="1" t="s">
        <v>549</v>
      </c>
      <c r="G145" s="1"/>
      <c r="H145" s="1"/>
      <c r="I145" s="1"/>
      <c r="J145" s="1"/>
      <c r="K145" s="1"/>
    </row>
    <row r="146" spans="1:11" ht="120" x14ac:dyDescent="0.25">
      <c r="A146" s="1" t="str">
        <f>IF(receta!A146="","",receta!A146)</f>
        <v>Violetto Tonic</v>
      </c>
      <c r="B146" s="1"/>
      <c r="C146" s="4" t="s">
        <v>752</v>
      </c>
      <c r="D146" s="1"/>
      <c r="E146" s="1"/>
      <c r="F146" s="1"/>
      <c r="G146" s="1"/>
      <c r="H146" s="1"/>
      <c r="I146" s="1"/>
      <c r="J146" s="1"/>
      <c r="K146" s="1"/>
    </row>
    <row r="147" spans="1:11" ht="240" x14ac:dyDescent="0.25">
      <c r="A147" s="1" t="str">
        <f>IF(receta!A147="","",receta!A147)</f>
        <v>Vodka Cranberry</v>
      </c>
      <c r="B147" s="1"/>
      <c r="C147" s="4" t="s">
        <v>723</v>
      </c>
      <c r="D147" s="4"/>
      <c r="E147" s="1" t="s">
        <v>717</v>
      </c>
      <c r="F147" s="5" t="s">
        <v>718</v>
      </c>
      <c r="G147" s="1"/>
      <c r="H147" s="5"/>
      <c r="I147" s="1"/>
      <c r="J147" s="5"/>
      <c r="K147" s="1"/>
    </row>
    <row r="148" spans="1:11" ht="225" x14ac:dyDescent="0.25">
      <c r="A148" s="1" t="str">
        <f>IF(receta!A148="","",receta!A148)</f>
        <v>Whiscola</v>
      </c>
      <c r="B148" s="1"/>
      <c r="C148" s="4" t="s">
        <v>691</v>
      </c>
      <c r="D148" s="1"/>
      <c r="E148" s="1" t="s">
        <v>693</v>
      </c>
      <c r="F148" s="5" t="s">
        <v>692</v>
      </c>
      <c r="G148" s="1"/>
      <c r="H148" s="1"/>
      <c r="I148" s="1"/>
      <c r="J148" s="5"/>
      <c r="K148" s="1"/>
    </row>
    <row r="149" spans="1:11" ht="324" customHeight="1" x14ac:dyDescent="0.25">
      <c r="A149" s="1" t="str">
        <f>IF(receta!A149="","",receta!A149)</f>
        <v>Whiskey Highball</v>
      </c>
      <c r="B149" s="1"/>
      <c r="C149" s="4" t="s">
        <v>695</v>
      </c>
      <c r="D149" s="4" t="s">
        <v>714</v>
      </c>
      <c r="E149" s="1" t="s">
        <v>711</v>
      </c>
      <c r="F149" s="5" t="s">
        <v>712</v>
      </c>
      <c r="G149" s="1"/>
      <c r="H149" s="1"/>
      <c r="I149" s="1"/>
      <c r="J149" s="5"/>
      <c r="K149" s="1"/>
    </row>
    <row r="150" spans="1:11" ht="409.5" x14ac:dyDescent="0.25">
      <c r="A150" s="1" t="str">
        <f>IF(receta!A150="","",receta!A150)</f>
        <v>Whisky Sour</v>
      </c>
      <c r="B150" s="4" t="s">
        <v>731</v>
      </c>
      <c r="C150" s="4" t="s">
        <v>361</v>
      </c>
      <c r="D150" s="4" t="s">
        <v>356</v>
      </c>
      <c r="E150" s="1" t="s">
        <v>475</v>
      </c>
      <c r="F150" s="1" t="s">
        <v>474</v>
      </c>
      <c r="G150" s="1"/>
      <c r="H150" s="5"/>
      <c r="I150" s="1"/>
      <c r="J150" s="1"/>
      <c r="K150" s="1"/>
    </row>
    <row r="151" spans="1:11" ht="180" x14ac:dyDescent="0.25">
      <c r="A151" s="1" t="str">
        <f>IF(receta!A151="","",receta!A151)</f>
        <v>Bramble</v>
      </c>
      <c r="B151" s="4" t="s">
        <v>760</v>
      </c>
      <c r="C151" s="4" t="s">
        <v>759</v>
      </c>
      <c r="D151" s="4" t="s">
        <v>794</v>
      </c>
      <c r="E151" s="1" t="s">
        <v>796</v>
      </c>
      <c r="F151" s="1" t="s">
        <v>795</v>
      </c>
      <c r="G151" s="1"/>
      <c r="H151" s="5"/>
      <c r="I151" s="1"/>
      <c r="J151" s="1"/>
      <c r="K151" s="1"/>
    </row>
    <row r="152" spans="1:11" ht="180" x14ac:dyDescent="0.25">
      <c r="A152" s="1" t="str">
        <f>IF(receta!A152="","",receta!A152)</f>
        <v>Pantera Rosa</v>
      </c>
      <c r="B152" s="1"/>
      <c r="C152" s="4" t="s">
        <v>763</v>
      </c>
      <c r="D152" s="4"/>
      <c r="E152" s="1" t="s">
        <v>797</v>
      </c>
      <c r="F152" s="1" t="s">
        <v>762</v>
      </c>
      <c r="G152" s="1"/>
      <c r="H152" s="5"/>
      <c r="I152" s="1"/>
      <c r="J152" s="1"/>
      <c r="K152" s="1"/>
    </row>
    <row r="153" spans="1:11" ht="240" x14ac:dyDescent="0.25">
      <c r="A153" s="1" t="str">
        <f>IF(receta!A153="","",receta!A153)</f>
        <v>Gin Basil Smash</v>
      </c>
      <c r="B153" s="4" t="s">
        <v>767</v>
      </c>
      <c r="C153" s="4" t="s">
        <v>766</v>
      </c>
      <c r="D153" s="4" t="s">
        <v>800</v>
      </c>
      <c r="E153" s="4" t="s">
        <v>798</v>
      </c>
      <c r="F153" s="1" t="s">
        <v>799</v>
      </c>
      <c r="G153" s="1"/>
      <c r="H153" s="5"/>
      <c r="I153" s="1"/>
      <c r="J153" s="1"/>
      <c r="K153" s="1"/>
    </row>
    <row r="154" spans="1:11" ht="409.5" x14ac:dyDescent="0.25">
      <c r="A154" s="1" t="str">
        <f>IF(receta!A154="","",receta!A154)</f>
        <v>Vodka Tonic</v>
      </c>
      <c r="B154" s="1"/>
      <c r="C154" s="4" t="s">
        <v>789</v>
      </c>
      <c r="D154" s="26" t="s">
        <v>893</v>
      </c>
      <c r="E154" s="1" t="s">
        <v>787</v>
      </c>
      <c r="F154" s="5" t="s">
        <v>788</v>
      </c>
      <c r="G154" s="1"/>
      <c r="H154" s="5"/>
      <c r="I154" s="1" t="s">
        <v>777</v>
      </c>
      <c r="J154" s="5" t="s">
        <v>776</v>
      </c>
      <c r="K154" s="1"/>
    </row>
    <row r="155" spans="1:11" ht="240" x14ac:dyDescent="0.25">
      <c r="A155" s="1" t="str">
        <f>IF(receta!A155="","",receta!A155)</f>
        <v>Medias de Seda</v>
      </c>
      <c r="B155" s="4" t="s">
        <v>803</v>
      </c>
      <c r="C155" s="4" t="s">
        <v>804</v>
      </c>
      <c r="D155" s="4"/>
      <c r="E155" s="1"/>
      <c r="F155" s="1"/>
      <c r="G155" s="1"/>
      <c r="H155" s="5"/>
      <c r="I155" s="1"/>
      <c r="J155" s="1"/>
      <c r="K155" s="1"/>
    </row>
    <row r="156" spans="1:11" ht="255" x14ac:dyDescent="0.25">
      <c r="A156" s="1" t="str">
        <f>IF(receta!A156="","",receta!A156)</f>
        <v>Brandy Sour</v>
      </c>
      <c r="B156" s="4" t="s">
        <v>731</v>
      </c>
      <c r="C156" s="4" t="s">
        <v>806</v>
      </c>
      <c r="D156" s="4"/>
      <c r="E156" s="1" t="s">
        <v>808</v>
      </c>
      <c r="F156" s="5" t="s">
        <v>807</v>
      </c>
      <c r="G156" s="1"/>
      <c r="H156" s="5"/>
      <c r="I156" s="1"/>
      <c r="J156" s="1"/>
      <c r="K156" s="1"/>
    </row>
    <row r="157" spans="1:11" ht="409.5" x14ac:dyDescent="0.25">
      <c r="A157" s="1" t="str">
        <f>IF(receta!A157="","",receta!A157)</f>
        <v>Juanito Rosado</v>
      </c>
      <c r="B157" s="4" t="s">
        <v>811</v>
      </c>
      <c r="C157" s="4" t="s">
        <v>810</v>
      </c>
      <c r="D157" s="4" t="s">
        <v>436</v>
      </c>
      <c r="E157" s="1" t="s">
        <v>429</v>
      </c>
      <c r="F157" s="1" t="s">
        <v>428</v>
      </c>
      <c r="G157" s="1"/>
      <c r="H157" s="5"/>
      <c r="I157" s="1"/>
      <c r="J157" s="1"/>
      <c r="K157" s="4"/>
    </row>
    <row r="158" spans="1:11" ht="409.5" x14ac:dyDescent="0.25">
      <c r="A158" s="1" t="str">
        <f>IF(receta!A158="","",receta!A158)</f>
        <v>Vino Navegado</v>
      </c>
      <c r="B158" s="4" t="s">
        <v>881</v>
      </c>
      <c r="C158" s="4" t="s">
        <v>837</v>
      </c>
      <c r="D158" s="10"/>
      <c r="E158" s="1" t="s">
        <v>868</v>
      </c>
      <c r="F158" s="1" t="s">
        <v>867</v>
      </c>
      <c r="G158" s="1"/>
      <c r="H158" s="5"/>
      <c r="I158" s="1"/>
      <c r="J158" s="1"/>
      <c r="K158" s="10" t="s">
        <v>819</v>
      </c>
    </row>
    <row r="159" spans="1:11" ht="409.5" x14ac:dyDescent="0.25">
      <c r="A159" s="1" t="str">
        <f>IF(receta!A159="","",receta!A159)</f>
        <v>Cola de Mono</v>
      </c>
      <c r="B159" s="4" t="s">
        <v>855</v>
      </c>
      <c r="C159" s="4" t="s">
        <v>824</v>
      </c>
      <c r="D159" s="4" t="s">
        <v>828</v>
      </c>
      <c r="E159" s="1" t="s">
        <v>827</v>
      </c>
      <c r="F159" s="5" t="s">
        <v>826</v>
      </c>
      <c r="G159" s="1" t="s">
        <v>836</v>
      </c>
      <c r="H159" s="10" t="s">
        <v>835</v>
      </c>
      <c r="I159" s="1"/>
      <c r="J159" s="1"/>
      <c r="K159" s="1"/>
    </row>
    <row r="160" spans="1:11" ht="90" x14ac:dyDescent="0.25">
      <c r="A160" s="1" t="str">
        <f>IF(receta!A160="","",receta!A160)</f>
        <v>Chichón</v>
      </c>
      <c r="B160" s="4" t="s">
        <v>834</v>
      </c>
      <c r="C160" s="4" t="s">
        <v>832</v>
      </c>
      <c r="D160" s="4"/>
      <c r="E160" s="1"/>
      <c r="F160" s="1"/>
      <c r="G160" s="1"/>
      <c r="H160" s="5"/>
      <c r="I160" s="1"/>
      <c r="J160" s="1"/>
      <c r="K160" s="1"/>
    </row>
    <row r="161" spans="1:11" ht="195" x14ac:dyDescent="0.25">
      <c r="A161" s="1" t="str">
        <f>IF(receta!A161="","",receta!A161)</f>
        <v>Ramos Fizz</v>
      </c>
      <c r="B161" s="4" t="s">
        <v>845</v>
      </c>
      <c r="C161" s="4" t="s">
        <v>846</v>
      </c>
      <c r="D161" s="4"/>
      <c r="E161" s="1"/>
      <c r="F161" s="1"/>
      <c r="G161" s="1"/>
      <c r="H161" s="5"/>
      <c r="I161" s="1"/>
      <c r="J161" s="1"/>
      <c r="K161" s="1"/>
    </row>
    <row r="162" spans="1:11" ht="195" x14ac:dyDescent="0.25">
      <c r="A162" s="1" t="str">
        <f>IF(receta!A162="","",receta!A162)</f>
        <v>Gin Fizz</v>
      </c>
      <c r="B162" s="4" t="s">
        <v>841</v>
      </c>
      <c r="C162" s="4" t="s">
        <v>844</v>
      </c>
      <c r="D162" s="4"/>
      <c r="E162" s="1" t="s">
        <v>843</v>
      </c>
      <c r="F162" s="5" t="s">
        <v>842</v>
      </c>
      <c r="G162" s="5"/>
      <c r="H162" s="5"/>
      <c r="I162" s="1"/>
      <c r="J162" s="1"/>
      <c r="K162" s="1"/>
    </row>
    <row r="163" spans="1:11" ht="255" x14ac:dyDescent="0.25">
      <c r="A163" s="1" t="str">
        <f>IF(receta!A163="","",receta!A163)</f>
        <v>Carta Breve</v>
      </c>
      <c r="B163" s="1"/>
      <c r="C163" s="4" t="s">
        <v>858</v>
      </c>
      <c r="D163" s="4" t="s">
        <v>857</v>
      </c>
      <c r="E163" s="1" t="s">
        <v>860</v>
      </c>
      <c r="F163" s="5" t="s">
        <v>859</v>
      </c>
      <c r="G163" s="1"/>
      <c r="H163" s="5"/>
      <c r="I163" s="1"/>
      <c r="J163" s="1"/>
      <c r="K163" s="1"/>
    </row>
    <row r="164" spans="1:11" ht="409.5" x14ac:dyDescent="0.25">
      <c r="A164" s="1" t="str">
        <f>IF(receta!A164="","",receta!A164)</f>
        <v>Orgasmo</v>
      </c>
      <c r="B164" s="4"/>
      <c r="C164" s="4" t="s">
        <v>869</v>
      </c>
      <c r="D164" s="4" t="s">
        <v>866</v>
      </c>
      <c r="E164" s="1" t="s">
        <v>864</v>
      </c>
      <c r="F164" s="5" t="s">
        <v>863</v>
      </c>
      <c r="G164" s="1"/>
      <c r="H164" s="5"/>
      <c r="I164" s="1" t="s">
        <v>871</v>
      </c>
      <c r="J164" s="1" t="s">
        <v>870</v>
      </c>
      <c r="K164" s="4" t="s">
        <v>865</v>
      </c>
    </row>
    <row r="165" spans="1:11" ht="409.5" x14ac:dyDescent="0.25">
      <c r="A165" s="1" t="str">
        <f>IF(receta!A165="","",receta!A165)</f>
        <v>Pihuelo</v>
      </c>
      <c r="B165" s="4" t="s">
        <v>874</v>
      </c>
      <c r="C165" s="4" t="s">
        <v>875</v>
      </c>
      <c r="D165" s="4" t="s">
        <v>878</v>
      </c>
      <c r="E165" s="1"/>
      <c r="F165" s="1"/>
      <c r="G165" s="1"/>
      <c r="H165" s="5"/>
      <c r="I165" s="1"/>
      <c r="J165" s="1"/>
      <c r="K165" s="4"/>
    </row>
    <row r="166" spans="1:11" ht="409.5" x14ac:dyDescent="0.25">
      <c r="A166" s="1" t="str">
        <f>IF(receta!A166="","",receta!A166)</f>
        <v>Mojito Sandía</v>
      </c>
      <c r="B166" s="4" t="s">
        <v>886</v>
      </c>
      <c r="C166" s="4" t="s">
        <v>887</v>
      </c>
      <c r="D166" s="4" t="s">
        <v>891</v>
      </c>
      <c r="E166" s="1" t="s">
        <v>884</v>
      </c>
      <c r="F166" s="5" t="s">
        <v>885</v>
      </c>
      <c r="G166" s="1"/>
      <c r="H166" s="5"/>
      <c r="I166" s="1"/>
      <c r="J166" s="1"/>
      <c r="K166" s="4" t="s">
        <v>892</v>
      </c>
    </row>
    <row r="167" spans="1:11" ht="409.5" x14ac:dyDescent="0.25">
      <c r="A167" s="1" t="str">
        <f>IF(receta!A167="","",receta!A167)</f>
        <v>Boulevardier</v>
      </c>
      <c r="B167" s="1"/>
      <c r="C167" s="4" t="s">
        <v>897</v>
      </c>
      <c r="D167" s="4"/>
      <c r="E167" s="1"/>
      <c r="F167" s="1"/>
      <c r="G167" s="1"/>
      <c r="H167" s="5"/>
      <c r="I167" s="1"/>
      <c r="J167" s="1"/>
      <c r="K167" s="1"/>
    </row>
    <row r="168" spans="1:11" ht="180" x14ac:dyDescent="0.25">
      <c r="A168" s="1" t="str">
        <f>IF(receta!A168="","",receta!A168)</f>
        <v>Old Pal</v>
      </c>
      <c r="B168" s="1"/>
      <c r="C168" s="4" t="s">
        <v>898</v>
      </c>
      <c r="D168" s="4"/>
      <c r="E168" s="1"/>
      <c r="F168" s="1"/>
      <c r="G168" s="1"/>
      <c r="H168" s="5"/>
      <c r="I168" s="1"/>
      <c r="J168" s="1"/>
      <c r="K168" s="1"/>
    </row>
    <row r="169" spans="1:11" ht="120" x14ac:dyDescent="0.25">
      <c r="A169" s="1" t="str">
        <f>IF(receta!A169="","",receta!A169)</f>
        <v>Chardonnay Sour</v>
      </c>
      <c r="B169" s="4" t="s">
        <v>902</v>
      </c>
      <c r="C169" s="4" t="s">
        <v>904</v>
      </c>
      <c r="D169" s="4"/>
      <c r="E169" s="1"/>
      <c r="F169" s="1"/>
      <c r="G169" s="1"/>
      <c r="H169" s="5"/>
      <c r="I169" s="1"/>
      <c r="J169" s="1"/>
      <c r="K169" s="1"/>
    </row>
    <row r="170" spans="1:11" ht="409.5" x14ac:dyDescent="0.25">
      <c r="A170" s="1" t="str">
        <f>IF(receta!A170="","",receta!A170)</f>
        <v>Carmenere Sour</v>
      </c>
      <c r="B170" s="4" t="s">
        <v>903</v>
      </c>
      <c r="C170" s="4" t="s">
        <v>906</v>
      </c>
      <c r="D170" s="4" t="s">
        <v>907</v>
      </c>
      <c r="E170" s="1"/>
      <c r="F170" s="1"/>
      <c r="G170" s="1"/>
      <c r="H170" s="5"/>
      <c r="I170" s="1"/>
      <c r="J170" s="1"/>
      <c r="K170" s="4" t="s">
        <v>905</v>
      </c>
    </row>
    <row r="171" spans="1:11" ht="409.5" x14ac:dyDescent="0.25">
      <c r="A171" s="1" t="str">
        <f>IF(receta!A171="","",receta!A171)</f>
        <v>Jerez Sour</v>
      </c>
      <c r="B171" s="4" t="s">
        <v>903</v>
      </c>
      <c r="C171" s="4" t="s">
        <v>913</v>
      </c>
      <c r="D171" s="4" t="s">
        <v>894</v>
      </c>
      <c r="E171" s="1"/>
      <c r="F171" s="1"/>
      <c r="G171" s="1"/>
      <c r="H171" s="5"/>
      <c r="I171" s="1"/>
      <c r="J171" s="1"/>
      <c r="K171" s="4" t="s">
        <v>911</v>
      </c>
    </row>
    <row r="172" spans="1:11" x14ac:dyDescent="0.25">
      <c r="A172" s="1" t="str">
        <f>IF(receta!A172="","",receta!A172)</f>
        <v/>
      </c>
      <c r="B172" s="1"/>
      <c r="C172" s="4"/>
      <c r="D172" s="4"/>
      <c r="E172" s="1"/>
      <c r="F172" s="1"/>
      <c r="G172" s="1"/>
      <c r="H172" s="5"/>
      <c r="I172" s="1"/>
      <c r="J172" s="1"/>
      <c r="K172" s="1"/>
    </row>
    <row r="173" spans="1:11" x14ac:dyDescent="0.25">
      <c r="A173" s="1" t="str">
        <f>IF(receta!A173="","",receta!A173)</f>
        <v/>
      </c>
      <c r="B173" s="1"/>
      <c r="C173" s="4"/>
      <c r="D173" s="4"/>
      <c r="E173" s="1"/>
      <c r="F173" s="1"/>
      <c r="G173" s="1"/>
      <c r="H173" s="5"/>
      <c r="I173" s="1"/>
      <c r="J173" s="1"/>
      <c r="K173" s="1"/>
    </row>
    <row r="174" spans="1:11" x14ac:dyDescent="0.25">
      <c r="A174" s="1" t="str">
        <f>IF(receta!A174="","",receta!A174)</f>
        <v/>
      </c>
      <c r="B174" s="1"/>
      <c r="C174" s="4"/>
      <c r="D174" s="4"/>
      <c r="E174" s="1"/>
      <c r="F174" s="1"/>
      <c r="G174" s="1"/>
      <c r="H174" s="5"/>
      <c r="I174" s="1"/>
      <c r="J174" s="1"/>
      <c r="K174" s="1"/>
    </row>
    <row r="175" spans="1:11" x14ac:dyDescent="0.25">
      <c r="A175" s="1" t="str">
        <f>IF(receta!A175="","",receta!A175)</f>
        <v/>
      </c>
      <c r="B175" s="1"/>
      <c r="C175" s="4"/>
      <c r="D175" s="4"/>
      <c r="E175" s="1"/>
      <c r="F175" s="1"/>
      <c r="G175" s="1"/>
      <c r="H175" s="5"/>
      <c r="I175" s="1"/>
      <c r="J175" s="1"/>
      <c r="K175" s="1"/>
    </row>
    <row r="176" spans="1:11" x14ac:dyDescent="0.25">
      <c r="A176" s="1" t="str">
        <f>IF(receta!A176="","",receta!A176)</f>
        <v/>
      </c>
      <c r="B176" s="1"/>
      <c r="C176" s="4"/>
      <c r="D176" s="4"/>
      <c r="E176" s="1"/>
      <c r="F176" s="1"/>
      <c r="G176" s="1"/>
      <c r="H176" s="5"/>
      <c r="I176" s="1"/>
      <c r="J176" s="1"/>
      <c r="K176" s="1"/>
    </row>
    <row r="177" spans="1:11" x14ac:dyDescent="0.25">
      <c r="A177" s="1" t="str">
        <f>IF(receta!A177="","",receta!A177)</f>
        <v/>
      </c>
      <c r="B177" s="1"/>
      <c r="C177" s="4"/>
      <c r="D177" s="4"/>
      <c r="E177" s="1"/>
      <c r="F177" s="1"/>
      <c r="G177" s="1"/>
      <c r="H177" s="5"/>
      <c r="I177" s="1"/>
      <c r="J177" s="1"/>
      <c r="K177" s="1"/>
    </row>
    <row r="178" spans="1:11" x14ac:dyDescent="0.25">
      <c r="A178" s="1" t="str">
        <f>IF(receta!A178="","",receta!A178)</f>
        <v/>
      </c>
      <c r="B178" s="1"/>
      <c r="C178" s="4"/>
      <c r="D178" s="4"/>
      <c r="E178" s="1"/>
      <c r="F178" s="1"/>
      <c r="G178" s="1"/>
      <c r="H178" s="5"/>
      <c r="I178" s="1"/>
      <c r="J178" s="1"/>
      <c r="K178" s="1"/>
    </row>
    <row r="179" spans="1:11" x14ac:dyDescent="0.25">
      <c r="A179" s="1" t="str">
        <f>IF(receta!A179="","",receta!A179)</f>
        <v/>
      </c>
      <c r="B179" s="1"/>
      <c r="C179" s="4"/>
      <c r="D179" s="4"/>
      <c r="E179" s="1"/>
      <c r="F179" s="1"/>
      <c r="G179" s="1"/>
      <c r="H179" s="5"/>
      <c r="I179" s="1"/>
      <c r="J179" s="1"/>
      <c r="K179" s="1"/>
    </row>
    <row r="180" spans="1:11" x14ac:dyDescent="0.25">
      <c r="A180" s="1" t="str">
        <f>IF(receta!A180="","",receta!A180)</f>
        <v/>
      </c>
      <c r="B180" s="1"/>
      <c r="C180" s="4"/>
      <c r="D180" s="4"/>
      <c r="E180" s="1"/>
      <c r="F180" s="1"/>
      <c r="G180" s="1"/>
      <c r="H180" s="5"/>
      <c r="I180" s="1"/>
      <c r="J180" s="1"/>
      <c r="K180" s="1"/>
    </row>
    <row r="181" spans="1:11" x14ac:dyDescent="0.25">
      <c r="A181" s="1" t="str">
        <f>IF(receta!A181="","",receta!A181)</f>
        <v/>
      </c>
      <c r="B181" s="1"/>
      <c r="C181" s="4"/>
      <c r="D181" s="4"/>
      <c r="E181" s="1"/>
      <c r="F181" s="1"/>
      <c r="G181" s="1"/>
      <c r="H181" s="5"/>
      <c r="I181" s="1"/>
      <c r="J181" s="1"/>
      <c r="K181" s="1"/>
    </row>
    <row r="182" spans="1:11" x14ac:dyDescent="0.25">
      <c r="A182" s="1" t="str">
        <f>IF(receta!A182="","",receta!A182)</f>
        <v/>
      </c>
      <c r="B182" s="1"/>
      <c r="C182" s="4"/>
      <c r="D182" s="4"/>
      <c r="E182" s="1"/>
      <c r="F182" s="1"/>
      <c r="G182" s="1"/>
      <c r="H182" s="5"/>
      <c r="I182" s="1"/>
      <c r="J182" s="1"/>
      <c r="K182" s="1"/>
    </row>
    <row r="183" spans="1:11" x14ac:dyDescent="0.25">
      <c r="A183" s="1" t="str">
        <f>IF(receta!A183="","",receta!A183)</f>
        <v/>
      </c>
      <c r="B183" s="1"/>
      <c r="C183" s="4"/>
      <c r="D183" s="4"/>
      <c r="E183" s="1"/>
      <c r="F183" s="1"/>
      <c r="G183" s="1"/>
      <c r="H183" s="5"/>
      <c r="I183" s="1"/>
      <c r="J183" s="1"/>
      <c r="K183" s="1"/>
    </row>
    <row r="184" spans="1:11" x14ac:dyDescent="0.25">
      <c r="A184" s="1" t="str">
        <f>IF(receta!A184="","",receta!A184)</f>
        <v/>
      </c>
      <c r="B184" s="1"/>
      <c r="C184" s="4"/>
      <c r="D184" s="4"/>
      <c r="E184" s="1"/>
      <c r="F184" s="1"/>
      <c r="G184" s="1"/>
      <c r="H184" s="5"/>
      <c r="I184" s="1"/>
      <c r="J184" s="1"/>
      <c r="K184" s="1"/>
    </row>
    <row r="185" spans="1:11" x14ac:dyDescent="0.25">
      <c r="A185" s="1" t="str">
        <f>IF(receta!A185="","",receta!A185)</f>
        <v/>
      </c>
      <c r="B185" s="1"/>
      <c r="C185" s="4"/>
      <c r="D185" s="4"/>
      <c r="E185" s="1"/>
      <c r="F185" s="1"/>
      <c r="G185" s="1"/>
      <c r="H185" s="5"/>
      <c r="I185" s="1"/>
      <c r="J185" s="1"/>
      <c r="K185" s="1"/>
    </row>
    <row r="186" spans="1:11" x14ac:dyDescent="0.25">
      <c r="A186" s="1" t="str">
        <f>IF(receta!A186="","",receta!A186)</f>
        <v/>
      </c>
      <c r="B186" s="1"/>
      <c r="C186" s="4"/>
      <c r="D186" s="4"/>
      <c r="E186" s="1"/>
      <c r="F186" s="1"/>
      <c r="G186" s="1"/>
      <c r="H186" s="5"/>
      <c r="I186" s="1"/>
      <c r="J186" s="1"/>
      <c r="K186" s="1"/>
    </row>
    <row r="187" spans="1:11" x14ac:dyDescent="0.25">
      <c r="A187" s="1" t="str">
        <f>IF(receta!A187="","",receta!A187)</f>
        <v/>
      </c>
      <c r="B187" s="1"/>
      <c r="C187" s="4"/>
      <c r="D187" s="4"/>
      <c r="E187" s="1"/>
      <c r="F187" s="1"/>
      <c r="G187" s="1"/>
      <c r="H187" s="5"/>
      <c r="I187" s="1"/>
      <c r="J187" s="1"/>
      <c r="K187" s="1"/>
    </row>
    <row r="188" spans="1:11" x14ac:dyDescent="0.25">
      <c r="A188" s="1" t="str">
        <f>IF(receta!A188="","",receta!A188)</f>
        <v/>
      </c>
      <c r="B188" s="1"/>
      <c r="C188" s="4"/>
      <c r="D188" s="4"/>
      <c r="E188" s="1"/>
      <c r="F188" s="1"/>
      <c r="G188" s="1"/>
      <c r="H188" s="5"/>
      <c r="I188" s="1"/>
      <c r="J188" s="1"/>
      <c r="K188" s="1"/>
    </row>
    <row r="189" spans="1:11" x14ac:dyDescent="0.25">
      <c r="A189" s="1" t="str">
        <f>IF(receta!A189="","",receta!A189)</f>
        <v/>
      </c>
      <c r="B189" s="1"/>
      <c r="C189" s="4"/>
      <c r="D189" s="4"/>
      <c r="E189" s="1"/>
      <c r="F189" s="1"/>
      <c r="G189" s="1"/>
      <c r="H189" s="5"/>
      <c r="I189" s="1"/>
      <c r="J189" s="1"/>
      <c r="K189" s="1"/>
    </row>
    <row r="190" spans="1:11" x14ac:dyDescent="0.25">
      <c r="A190" s="1" t="str">
        <f>IF(receta!A190="","",receta!A190)</f>
        <v/>
      </c>
      <c r="B190" s="1"/>
      <c r="C190" s="4"/>
      <c r="D190" s="4"/>
      <c r="E190" s="1"/>
      <c r="F190" s="1"/>
      <c r="G190" s="1"/>
      <c r="H190" s="5"/>
      <c r="I190" s="1"/>
      <c r="J190" s="1"/>
      <c r="K190" s="1"/>
    </row>
    <row r="191" spans="1:11" x14ac:dyDescent="0.25">
      <c r="A191" s="1" t="str">
        <f>IF(receta!A191="","",receta!A191)</f>
        <v/>
      </c>
      <c r="B191" s="1"/>
      <c r="C191" s="4"/>
      <c r="D191" s="4"/>
      <c r="E191" s="1"/>
      <c r="F191" s="1"/>
      <c r="G191" s="1"/>
      <c r="H191" s="5"/>
      <c r="I191" s="1"/>
      <c r="J191" s="1"/>
      <c r="K191" s="1"/>
    </row>
    <row r="192" spans="1:11" x14ac:dyDescent="0.25">
      <c r="A192" s="1" t="str">
        <f>IF(receta!A192="","",receta!A192)</f>
        <v/>
      </c>
      <c r="B192" s="1"/>
      <c r="C192" s="4"/>
      <c r="D192" s="4"/>
      <c r="E192" s="1"/>
      <c r="F192" s="1"/>
      <c r="G192" s="1"/>
      <c r="H192" s="5"/>
      <c r="I192" s="1"/>
      <c r="J192" s="1"/>
      <c r="K192" s="1"/>
    </row>
    <row r="193" spans="1:11" x14ac:dyDescent="0.25">
      <c r="A193" s="1" t="str">
        <f>IF(receta!A193="","",receta!A193)</f>
        <v/>
      </c>
      <c r="B193" s="1"/>
      <c r="C193" s="4"/>
      <c r="D193" s="4"/>
      <c r="E193" s="1"/>
      <c r="F193" s="1"/>
      <c r="G193" s="1"/>
      <c r="H193" s="5"/>
      <c r="I193" s="1"/>
      <c r="J193" s="1"/>
      <c r="K193" s="1"/>
    </row>
    <row r="194" spans="1:11" x14ac:dyDescent="0.25">
      <c r="A194" s="1" t="str">
        <f>IF(receta!A194="","",receta!A194)</f>
        <v/>
      </c>
      <c r="B194" s="1"/>
      <c r="C194" s="4"/>
      <c r="D194" s="4"/>
      <c r="E194" s="1"/>
      <c r="F194" s="1"/>
      <c r="G194" s="1"/>
      <c r="H194" s="5"/>
      <c r="I194" s="1"/>
      <c r="J194" s="1"/>
      <c r="K194" s="1"/>
    </row>
    <row r="195" spans="1:11" x14ac:dyDescent="0.25">
      <c r="A195" s="1" t="str">
        <f>IF(receta!A195="","",receta!A195)</f>
        <v/>
      </c>
      <c r="B195" s="1"/>
      <c r="C195" s="4"/>
      <c r="D195" s="4"/>
      <c r="E195" s="1"/>
      <c r="F195" s="1"/>
      <c r="G195" s="1"/>
      <c r="H195" s="5"/>
      <c r="I195" s="1"/>
      <c r="J195" s="1"/>
      <c r="K195" s="1"/>
    </row>
    <row r="196" spans="1:11" x14ac:dyDescent="0.25">
      <c r="A196" s="1" t="str">
        <f>IF(receta!A196="","",receta!A196)</f>
        <v/>
      </c>
      <c r="B196" s="1"/>
      <c r="C196" s="4"/>
      <c r="D196" s="4"/>
      <c r="E196" s="1"/>
      <c r="F196" s="1"/>
      <c r="G196" s="1"/>
      <c r="H196" s="5"/>
      <c r="I196" s="1"/>
      <c r="J196" s="1"/>
      <c r="K196" s="1"/>
    </row>
    <row r="197" spans="1:11" x14ac:dyDescent="0.25">
      <c r="A197" s="1" t="str">
        <f>IF(receta!A197="","",receta!A197)</f>
        <v/>
      </c>
      <c r="B197" s="1"/>
      <c r="C197" s="4"/>
      <c r="D197" s="4"/>
      <c r="E197" s="1"/>
      <c r="F197" s="1"/>
      <c r="G197" s="1"/>
      <c r="H197" s="5"/>
      <c r="I197" s="1"/>
      <c r="J197" s="1"/>
      <c r="K197" s="1"/>
    </row>
    <row r="198" spans="1:11" x14ac:dyDescent="0.25">
      <c r="A198" s="1" t="str">
        <f>IF(receta!A198="","",receta!A198)</f>
        <v/>
      </c>
      <c r="B198" s="1"/>
      <c r="C198" s="4"/>
      <c r="D198" s="4"/>
      <c r="E198" s="1"/>
      <c r="F198" s="1"/>
      <c r="G198" s="1"/>
      <c r="H198" s="5"/>
      <c r="I198" s="1"/>
      <c r="J198" s="1"/>
      <c r="K198" s="1"/>
    </row>
    <row r="199" spans="1:11" x14ac:dyDescent="0.25">
      <c r="A199" s="1" t="str">
        <f>IF(receta!A199="","",receta!A199)</f>
        <v/>
      </c>
      <c r="B199" s="1"/>
      <c r="C199" s="4"/>
      <c r="D199" s="4"/>
      <c r="E199" s="1"/>
      <c r="F199" s="1"/>
      <c r="G199" s="1"/>
      <c r="H199" s="5"/>
      <c r="I199" s="1"/>
      <c r="J199" s="1"/>
      <c r="K199" s="1"/>
    </row>
    <row r="200" spans="1:11" x14ac:dyDescent="0.25">
      <c r="A200" s="1" t="str">
        <f>IF(receta!A200="","",receta!A200)</f>
        <v/>
      </c>
      <c r="B200" s="1"/>
      <c r="C200" s="4"/>
      <c r="D200" s="4"/>
      <c r="E200" s="1"/>
      <c r="F200" s="1"/>
      <c r="G200" s="1"/>
      <c r="H200" s="5"/>
      <c r="I200" s="1"/>
      <c r="J200" s="1"/>
      <c r="K200" s="1"/>
    </row>
    <row r="201" spans="1:11" x14ac:dyDescent="0.25">
      <c r="A201" s="1" t="str">
        <f>IF(receta!A201="","",receta!A201)</f>
        <v/>
      </c>
      <c r="B201" s="1"/>
      <c r="C201" s="4"/>
      <c r="D201" s="4"/>
      <c r="E201" s="1"/>
      <c r="F201" s="1"/>
      <c r="G201" s="1"/>
      <c r="H201" s="5"/>
      <c r="I201" s="1"/>
      <c r="J201" s="1"/>
      <c r="K201" s="1"/>
    </row>
    <row r="202" spans="1:11" x14ac:dyDescent="0.25">
      <c r="A202" s="1" t="str">
        <f>IF(receta!A202="","",receta!A202)</f>
        <v/>
      </c>
      <c r="B202" s="1"/>
      <c r="C202" s="4"/>
      <c r="D202" s="4"/>
      <c r="E202" s="1"/>
      <c r="F202" s="1"/>
      <c r="G202" s="1"/>
      <c r="H202" s="5"/>
      <c r="I202" s="1"/>
      <c r="J202" s="1"/>
      <c r="K202" s="1"/>
    </row>
    <row r="203" spans="1:11" x14ac:dyDescent="0.25">
      <c r="A203" s="1" t="str">
        <f>IF(receta!A203="","",receta!A203)</f>
        <v/>
      </c>
      <c r="B203" s="1"/>
      <c r="C203" s="4"/>
      <c r="D203" s="4"/>
      <c r="E203" s="1"/>
      <c r="F203" s="1"/>
      <c r="G203" s="1"/>
      <c r="H203" s="5"/>
      <c r="I203" s="1"/>
      <c r="J203" s="1"/>
      <c r="K203" s="1"/>
    </row>
    <row r="204" spans="1:11" x14ac:dyDescent="0.25">
      <c r="A204" s="1" t="str">
        <f>IF(receta!A204="","",receta!A204)</f>
        <v/>
      </c>
      <c r="B204" s="1"/>
      <c r="C204" s="4"/>
      <c r="D204" s="4"/>
      <c r="E204" s="1"/>
      <c r="F204" s="1"/>
      <c r="G204" s="1"/>
      <c r="H204" s="5"/>
      <c r="I204" s="1"/>
      <c r="J204" s="1"/>
      <c r="K204" s="1"/>
    </row>
    <row r="205" spans="1:11" x14ac:dyDescent="0.25">
      <c r="A205" s="1" t="str">
        <f>IF(receta!A205="","",receta!A205)</f>
        <v/>
      </c>
      <c r="B205" s="1"/>
      <c r="C205" s="4"/>
      <c r="D205" s="4"/>
      <c r="E205" s="1"/>
      <c r="F205" s="1"/>
      <c r="G205" s="1"/>
      <c r="H205" s="5"/>
      <c r="I205" s="1"/>
      <c r="J205" s="1"/>
      <c r="K205" s="1"/>
    </row>
    <row r="206" spans="1:11" x14ac:dyDescent="0.25">
      <c r="A206" s="1" t="str">
        <f>IF(receta!A206="","",receta!A206)</f>
        <v/>
      </c>
      <c r="B206" s="1"/>
      <c r="C206" s="4"/>
      <c r="D206" s="4"/>
      <c r="E206" s="1"/>
      <c r="F206" s="1"/>
      <c r="G206" s="1"/>
      <c r="H206" s="5"/>
      <c r="I206" s="1"/>
      <c r="J206" s="1"/>
      <c r="K206" s="1"/>
    </row>
    <row r="207" spans="1:11" x14ac:dyDescent="0.25">
      <c r="A207" s="1" t="str">
        <f>IF(receta!A207="","",receta!A207)</f>
        <v/>
      </c>
      <c r="B207" s="1"/>
      <c r="C207" s="4"/>
      <c r="D207" s="4"/>
      <c r="E207" s="1"/>
      <c r="F207" s="1"/>
      <c r="G207" s="1"/>
      <c r="H207" s="5"/>
      <c r="I207" s="1"/>
      <c r="J207" s="1"/>
      <c r="K207" s="1"/>
    </row>
    <row r="208" spans="1:11" x14ac:dyDescent="0.25">
      <c r="A208" s="1" t="str">
        <f>IF(receta!A208="","",receta!A208)</f>
        <v/>
      </c>
      <c r="B208" s="1"/>
      <c r="C208" s="4"/>
      <c r="D208" s="4"/>
      <c r="E208" s="1"/>
      <c r="F208" s="1"/>
      <c r="G208" s="1"/>
      <c r="H208" s="5"/>
      <c r="I208" s="1"/>
      <c r="J208" s="1"/>
      <c r="K208" s="1"/>
    </row>
    <row r="209" spans="1:11" x14ac:dyDescent="0.25">
      <c r="A209" s="1" t="str">
        <f>IF(receta!A209="","",receta!A209)</f>
        <v/>
      </c>
      <c r="B209" s="1"/>
      <c r="C209" s="4"/>
      <c r="D209" s="4"/>
      <c r="E209" s="1"/>
      <c r="F209" s="1"/>
      <c r="G209" s="1"/>
      <c r="H209" s="5"/>
      <c r="I209" s="1"/>
      <c r="J209" s="1"/>
      <c r="K209" s="1"/>
    </row>
    <row r="210" spans="1:11" x14ac:dyDescent="0.25">
      <c r="A210" s="1" t="str">
        <f>IF(receta!A210="","",receta!A210)</f>
        <v/>
      </c>
      <c r="B210" s="1"/>
      <c r="C210" s="4"/>
      <c r="D210" s="4"/>
      <c r="E210" s="1"/>
      <c r="F210" s="1"/>
      <c r="G210" s="1"/>
      <c r="H210" s="5"/>
      <c r="I210" s="1"/>
      <c r="J210" s="1"/>
      <c r="K210" s="1"/>
    </row>
    <row r="211" spans="1:11" x14ac:dyDescent="0.25">
      <c r="A211" s="1" t="str">
        <f>IF(receta!A211="","",receta!A211)</f>
        <v/>
      </c>
      <c r="B211" s="1"/>
      <c r="C211" s="4"/>
      <c r="D211" s="4"/>
      <c r="E211" s="1"/>
      <c r="F211" s="1"/>
      <c r="G211" s="1"/>
      <c r="H211" s="5"/>
      <c r="I211" s="1"/>
      <c r="J211" s="1"/>
      <c r="K211" s="1"/>
    </row>
    <row r="212" spans="1:11" x14ac:dyDescent="0.25">
      <c r="A212" s="1" t="str">
        <f>IF(receta!A212="","",receta!A212)</f>
        <v/>
      </c>
      <c r="B212" s="1"/>
      <c r="C212" s="4"/>
      <c r="D212" s="4"/>
      <c r="E212" s="1"/>
      <c r="F212" s="1"/>
      <c r="G212" s="1"/>
      <c r="H212" s="5"/>
      <c r="I212" s="1"/>
      <c r="J212" s="1"/>
      <c r="K212" s="1"/>
    </row>
    <row r="213" spans="1:11" x14ac:dyDescent="0.25">
      <c r="A213" s="1" t="str">
        <f>IF(receta!A213="","",receta!A213)</f>
        <v/>
      </c>
      <c r="B213" s="1"/>
      <c r="C213" s="4"/>
      <c r="D213" s="4"/>
      <c r="E213" s="1"/>
      <c r="F213" s="1"/>
      <c r="G213" s="1"/>
      <c r="H213" s="5"/>
      <c r="I213" s="1"/>
      <c r="J213" s="1"/>
      <c r="K213" s="1"/>
    </row>
    <row r="214" spans="1:11" x14ac:dyDescent="0.25">
      <c r="A214" s="1" t="str">
        <f>IF(receta!A214="","",receta!A214)</f>
        <v/>
      </c>
      <c r="B214" s="1"/>
      <c r="C214" s="4"/>
      <c r="D214" s="4"/>
      <c r="E214" s="1"/>
      <c r="F214" s="1"/>
      <c r="G214" s="1"/>
      <c r="H214" s="5"/>
      <c r="I214" s="1"/>
      <c r="J214" s="1"/>
      <c r="K214" s="1"/>
    </row>
    <row r="215" spans="1:11" x14ac:dyDescent="0.25">
      <c r="A215" s="1" t="str">
        <f>IF(receta!A215="","",receta!A215)</f>
        <v/>
      </c>
      <c r="B215" s="1"/>
      <c r="C215" s="4"/>
      <c r="D215" s="4"/>
      <c r="E215" s="1"/>
      <c r="F215" s="1"/>
      <c r="G215" s="1"/>
      <c r="H215" s="5"/>
      <c r="I215" s="1"/>
      <c r="J215" s="1"/>
      <c r="K215" s="1"/>
    </row>
    <row r="216" spans="1:11" x14ac:dyDescent="0.25">
      <c r="A216" s="1" t="str">
        <f>IF(receta!A216="","",receta!A216)</f>
        <v/>
      </c>
      <c r="B216" s="1"/>
      <c r="C216" s="4"/>
      <c r="D216" s="4"/>
      <c r="E216" s="1"/>
      <c r="F216" s="1"/>
      <c r="G216" s="1"/>
      <c r="H216" s="5"/>
      <c r="I216" s="1"/>
      <c r="J216" s="1"/>
      <c r="K216" s="1"/>
    </row>
    <row r="217" spans="1:11" x14ac:dyDescent="0.25">
      <c r="A217" s="1" t="str">
        <f>IF(receta!A217="","",receta!A217)</f>
        <v/>
      </c>
      <c r="B217" s="1"/>
      <c r="C217" s="4"/>
      <c r="D217" s="4"/>
      <c r="E217" s="1"/>
      <c r="F217" s="1"/>
      <c r="G217" s="1"/>
      <c r="H217" s="5"/>
      <c r="I217" s="1"/>
      <c r="J217" s="1"/>
      <c r="K217" s="1"/>
    </row>
    <row r="218" spans="1:11" x14ac:dyDescent="0.25">
      <c r="A218" s="1" t="str">
        <f>IF(receta!A218="","",receta!A218)</f>
        <v/>
      </c>
      <c r="B218" s="1"/>
      <c r="C218" s="4"/>
      <c r="D218" s="4"/>
      <c r="E218" s="1"/>
      <c r="F218" s="1"/>
      <c r="G218" s="1"/>
      <c r="H218" s="5"/>
      <c r="I218" s="1"/>
      <c r="J218" s="1"/>
      <c r="K218" s="1"/>
    </row>
    <row r="219" spans="1:11" x14ac:dyDescent="0.25">
      <c r="A219" s="1" t="str">
        <f>IF(receta!A219="","",receta!A219)</f>
        <v/>
      </c>
      <c r="B219" s="1"/>
      <c r="C219" s="4"/>
      <c r="D219" s="4"/>
      <c r="E219" s="1"/>
      <c r="F219" s="1"/>
      <c r="G219" s="1"/>
      <c r="H219" s="5"/>
      <c r="I219" s="1"/>
      <c r="J219" s="1"/>
      <c r="K219" s="1"/>
    </row>
    <row r="220" spans="1:11" x14ac:dyDescent="0.25">
      <c r="A220" s="1" t="str">
        <f>IF(receta!A220="","",receta!A220)</f>
        <v/>
      </c>
      <c r="B220" s="1"/>
      <c r="C220" s="4"/>
      <c r="D220" s="4"/>
      <c r="E220" s="1"/>
      <c r="F220" s="1"/>
      <c r="G220" s="1"/>
      <c r="H220" s="5"/>
      <c r="I220" s="1"/>
      <c r="J220" s="1"/>
      <c r="K220" s="1"/>
    </row>
    <row r="221" spans="1:11" x14ac:dyDescent="0.25">
      <c r="A221" s="1" t="str">
        <f>IF(receta!A221="","",receta!A221)</f>
        <v/>
      </c>
      <c r="B221" s="1"/>
      <c r="C221" s="4"/>
      <c r="D221" s="4"/>
      <c r="E221" s="1"/>
      <c r="F221" s="1"/>
      <c r="G221" s="1"/>
      <c r="H221" s="5"/>
      <c r="I221" s="1"/>
      <c r="J221" s="1"/>
      <c r="K221" s="1"/>
    </row>
    <row r="222" spans="1:11" x14ac:dyDescent="0.25">
      <c r="A222" s="1" t="str">
        <f>IF(receta!A222="","",receta!A222)</f>
        <v/>
      </c>
      <c r="B222" s="1"/>
      <c r="C222" s="4"/>
      <c r="D222" s="4"/>
      <c r="E222" s="1"/>
      <c r="F222" s="1"/>
      <c r="G222" s="1"/>
      <c r="H222" s="5"/>
      <c r="I222" s="1"/>
      <c r="J222" s="1"/>
      <c r="K222" s="1"/>
    </row>
    <row r="223" spans="1:11" x14ac:dyDescent="0.25">
      <c r="A223" s="1" t="str">
        <f>IF(receta!A223="","",receta!A223)</f>
        <v/>
      </c>
      <c r="B223" s="1"/>
      <c r="C223" s="4"/>
      <c r="D223" s="4"/>
      <c r="E223" s="1"/>
      <c r="F223" s="1"/>
      <c r="G223" s="1"/>
      <c r="H223" s="5"/>
      <c r="I223" s="1"/>
      <c r="J223" s="1"/>
      <c r="K223" s="1"/>
    </row>
    <row r="224" spans="1:11" x14ac:dyDescent="0.25">
      <c r="A224" s="1" t="str">
        <f>IF(receta!A224="","",receta!A224)</f>
        <v/>
      </c>
      <c r="B224" s="1"/>
      <c r="C224" s="4"/>
      <c r="D224" s="4"/>
      <c r="E224" s="1"/>
      <c r="F224" s="1"/>
      <c r="G224" s="1"/>
      <c r="H224" s="5"/>
      <c r="I224" s="1"/>
      <c r="J224" s="1"/>
      <c r="K224" s="1"/>
    </row>
    <row r="225" spans="1:11" x14ac:dyDescent="0.25">
      <c r="A225" s="1" t="str">
        <f>IF(receta!A225="","",receta!A225)</f>
        <v/>
      </c>
      <c r="B225" s="1"/>
      <c r="C225" s="4"/>
      <c r="D225" s="4"/>
      <c r="E225" s="1"/>
      <c r="F225" s="1"/>
      <c r="G225" s="1"/>
      <c r="H225" s="5"/>
      <c r="I225" s="1"/>
      <c r="J225" s="1"/>
      <c r="K225" s="1"/>
    </row>
    <row r="226" spans="1:11" x14ac:dyDescent="0.25">
      <c r="A226" s="1" t="str">
        <f>IF(receta!A226="","",receta!A226)</f>
        <v/>
      </c>
      <c r="B226" s="1"/>
      <c r="C226" s="4"/>
      <c r="D226" s="4"/>
      <c r="E226" s="1"/>
      <c r="F226" s="1"/>
      <c r="G226" s="1"/>
      <c r="H226" s="5"/>
      <c r="I226" s="1"/>
      <c r="J226" s="1"/>
      <c r="K226" s="1"/>
    </row>
    <row r="227" spans="1:11" x14ac:dyDescent="0.25">
      <c r="A227" s="1" t="str">
        <f>IF(receta!A227="","",receta!A227)</f>
        <v/>
      </c>
      <c r="B227" s="1"/>
      <c r="C227" s="4"/>
      <c r="D227" s="4"/>
      <c r="E227" s="1"/>
      <c r="F227" s="1"/>
      <c r="G227" s="1"/>
      <c r="H227" s="5"/>
      <c r="I227" s="1"/>
      <c r="J227" s="1"/>
      <c r="K227" s="1"/>
    </row>
    <row r="228" spans="1:11" x14ac:dyDescent="0.25">
      <c r="A228" s="1" t="str">
        <f>IF(receta!A228="","",receta!A228)</f>
        <v/>
      </c>
      <c r="B228" s="1"/>
      <c r="C228" s="4"/>
      <c r="D228" s="4"/>
      <c r="E228" s="1"/>
      <c r="F228" s="1"/>
      <c r="G228" s="1"/>
      <c r="H228" s="5"/>
      <c r="I228" s="1"/>
      <c r="J228" s="1"/>
      <c r="K228" s="1"/>
    </row>
    <row r="229" spans="1:11" x14ac:dyDescent="0.25">
      <c r="A229" s="1" t="str">
        <f>IF(receta!A229="","",receta!A229)</f>
        <v/>
      </c>
      <c r="B229" s="1"/>
      <c r="C229" s="4"/>
      <c r="D229" s="4"/>
      <c r="E229" s="1"/>
      <c r="F229" s="1"/>
      <c r="G229" s="1"/>
      <c r="H229" s="5"/>
      <c r="I229" s="1"/>
      <c r="J229" s="1"/>
      <c r="K229" s="1"/>
    </row>
    <row r="230" spans="1:11" x14ac:dyDescent="0.25">
      <c r="A230" s="1" t="str">
        <f>IF(receta!A230="","",receta!A230)</f>
        <v/>
      </c>
      <c r="B230" s="1"/>
      <c r="C230" s="4"/>
      <c r="D230" s="4"/>
      <c r="E230" s="1"/>
      <c r="F230" s="1"/>
      <c r="G230" s="1"/>
      <c r="H230" s="5"/>
      <c r="I230" s="1"/>
      <c r="J230" s="1"/>
      <c r="K230" s="1"/>
    </row>
    <row r="231" spans="1:11" x14ac:dyDescent="0.25">
      <c r="A231" s="1" t="str">
        <f>IF(receta!A231="","",receta!A231)</f>
        <v/>
      </c>
      <c r="B231" s="1"/>
      <c r="C231" s="4"/>
      <c r="D231" s="4"/>
      <c r="E231" s="1"/>
      <c r="F231" s="1"/>
      <c r="G231" s="1"/>
      <c r="H231" s="5"/>
      <c r="I231" s="1"/>
      <c r="J231" s="1"/>
      <c r="K231" s="1"/>
    </row>
    <row r="232" spans="1:11" x14ac:dyDescent="0.25">
      <c r="A232" s="1" t="str">
        <f>IF(receta!A232="","",receta!A232)</f>
        <v/>
      </c>
      <c r="B232" s="1"/>
      <c r="C232" s="4"/>
      <c r="D232" s="4"/>
      <c r="E232" s="1"/>
      <c r="F232" s="1"/>
      <c r="G232" s="1"/>
      <c r="H232" s="5"/>
      <c r="I232" s="1"/>
      <c r="J232" s="1"/>
      <c r="K232" s="1"/>
    </row>
    <row r="233" spans="1:11" x14ac:dyDescent="0.25">
      <c r="A233" s="1" t="str">
        <f>IF(receta!A233="","",receta!A233)</f>
        <v/>
      </c>
      <c r="B233" s="1"/>
      <c r="C233" s="4"/>
      <c r="D233" s="4"/>
      <c r="E233" s="1"/>
      <c r="F233" s="1"/>
      <c r="G233" s="1"/>
      <c r="H233" s="5"/>
      <c r="I233" s="1"/>
      <c r="J233" s="1"/>
      <c r="K233" s="1"/>
    </row>
    <row r="234" spans="1:11" x14ac:dyDescent="0.25">
      <c r="A234" s="1" t="str">
        <f>IF(receta!A234="","",receta!A234)</f>
        <v/>
      </c>
      <c r="B234" s="1"/>
      <c r="C234" s="4"/>
      <c r="D234" s="4"/>
      <c r="E234" s="1"/>
      <c r="F234" s="1"/>
      <c r="G234" s="1"/>
      <c r="H234" s="5"/>
      <c r="I234" s="1"/>
      <c r="J234" s="1"/>
      <c r="K234" s="1"/>
    </row>
    <row r="235" spans="1:11" x14ac:dyDescent="0.25">
      <c r="A235" s="1" t="str">
        <f>IF(receta!A235="","",receta!A235)</f>
        <v/>
      </c>
      <c r="B235" s="1"/>
      <c r="C235" s="4"/>
      <c r="D235" s="4"/>
      <c r="E235" s="1"/>
      <c r="F235" s="1"/>
      <c r="G235" s="1"/>
      <c r="H235" s="5"/>
      <c r="I235" s="1"/>
      <c r="J235" s="1"/>
      <c r="K235" s="1"/>
    </row>
    <row r="236" spans="1:11" x14ac:dyDescent="0.25">
      <c r="A236" s="1" t="str">
        <f>IF(receta!A236="","",receta!A236)</f>
        <v/>
      </c>
      <c r="B236" s="1"/>
      <c r="C236" s="4"/>
      <c r="D236" s="4"/>
      <c r="E236" s="1"/>
      <c r="F236" s="1"/>
      <c r="G236" s="1"/>
      <c r="H236" s="5"/>
      <c r="I236" s="1"/>
      <c r="J236" s="1"/>
      <c r="K236" s="1"/>
    </row>
    <row r="237" spans="1:11" x14ac:dyDescent="0.25">
      <c r="A237" s="1" t="str">
        <f>IF(receta!A237="","",receta!A237)</f>
        <v/>
      </c>
      <c r="B237" s="1"/>
      <c r="C237" s="4"/>
      <c r="D237" s="4"/>
      <c r="E237" s="1"/>
      <c r="F237" s="1"/>
      <c r="G237" s="1"/>
      <c r="H237" s="5"/>
      <c r="I237" s="1"/>
      <c r="J237" s="1"/>
      <c r="K237" s="1"/>
    </row>
    <row r="238" spans="1:11" x14ac:dyDescent="0.25">
      <c r="A238" s="1" t="str">
        <f>IF(receta!A238="","",receta!A238)</f>
        <v/>
      </c>
      <c r="B238" s="1"/>
      <c r="C238" s="4"/>
      <c r="D238" s="4"/>
      <c r="E238" s="1"/>
      <c r="F238" s="1"/>
      <c r="G238" s="1"/>
      <c r="H238" s="5"/>
      <c r="I238" s="1"/>
      <c r="J238" s="1"/>
      <c r="K238" s="1"/>
    </row>
    <row r="239" spans="1:11" x14ac:dyDescent="0.25">
      <c r="A239" s="1" t="str">
        <f>IF(receta!A239="","",receta!A239)</f>
        <v/>
      </c>
      <c r="B239" s="1"/>
      <c r="C239" s="4"/>
      <c r="D239" s="4"/>
      <c r="E239" s="1"/>
      <c r="F239" s="1"/>
      <c r="G239" s="1"/>
      <c r="H239" s="5"/>
      <c r="I239" s="1"/>
      <c r="J239" s="1"/>
      <c r="K239" s="1"/>
    </row>
    <row r="240" spans="1:11" x14ac:dyDescent="0.25">
      <c r="A240" s="1" t="str">
        <f>IF(receta!A240="","",receta!A240)</f>
        <v/>
      </c>
      <c r="B240" s="1"/>
      <c r="C240" s="4"/>
      <c r="D240" s="4"/>
      <c r="E240" s="1"/>
      <c r="F240" s="1"/>
      <c r="G240" s="1"/>
      <c r="H240" s="5"/>
      <c r="I240" s="1"/>
      <c r="J240" s="1"/>
      <c r="K240" s="1"/>
    </row>
    <row r="241" spans="1:11" x14ac:dyDescent="0.25">
      <c r="A241" s="1" t="str">
        <f>IF(receta!A241="","",receta!A241)</f>
        <v/>
      </c>
      <c r="B241" s="1"/>
      <c r="C241" s="4"/>
      <c r="D241" s="4"/>
      <c r="E241" s="1"/>
      <c r="F241" s="1"/>
      <c r="G241" s="1"/>
      <c r="H241" s="5"/>
      <c r="I241" s="1"/>
      <c r="J241" s="1"/>
      <c r="K241" s="1"/>
    </row>
    <row r="242" spans="1:11" x14ac:dyDescent="0.25">
      <c r="A242" s="1" t="str">
        <f>IF(receta!A242="","",receta!A242)</f>
        <v/>
      </c>
      <c r="B242" s="1"/>
      <c r="C242" s="4"/>
      <c r="D242" s="4"/>
      <c r="E242" s="1"/>
      <c r="F242" s="1"/>
      <c r="G242" s="1"/>
      <c r="H242" s="5"/>
      <c r="I242" s="1"/>
      <c r="J242" s="1"/>
      <c r="K242" s="1"/>
    </row>
    <row r="243" spans="1:11" x14ac:dyDescent="0.25">
      <c r="A243" s="1" t="str">
        <f>IF(receta!A243="","",receta!A243)</f>
        <v/>
      </c>
      <c r="B243" s="1"/>
      <c r="C243" s="4"/>
      <c r="D243" s="4"/>
      <c r="E243" s="1"/>
      <c r="F243" s="1"/>
      <c r="G243" s="1"/>
      <c r="H243" s="5"/>
      <c r="I243" s="1"/>
      <c r="J243" s="1"/>
      <c r="K243" s="1"/>
    </row>
    <row r="244" spans="1:11" x14ac:dyDescent="0.25">
      <c r="A244" s="1" t="str">
        <f>IF(receta!A244="","",receta!A244)</f>
        <v/>
      </c>
      <c r="B244" s="1"/>
      <c r="C244" s="4"/>
      <c r="D244" s="4"/>
      <c r="E244" s="1"/>
      <c r="F244" s="1"/>
      <c r="G244" s="1"/>
      <c r="H244" s="5"/>
      <c r="I244" s="1"/>
      <c r="J244" s="1"/>
      <c r="K244" s="1"/>
    </row>
    <row r="245" spans="1:11" x14ac:dyDescent="0.25">
      <c r="A245" s="1" t="str">
        <f>IF(receta!A245="","",receta!A245)</f>
        <v/>
      </c>
      <c r="B245" s="1"/>
      <c r="C245" s="4"/>
      <c r="D245" s="4"/>
      <c r="E245" s="1"/>
      <c r="F245" s="1"/>
      <c r="G245" s="1"/>
      <c r="H245" s="5"/>
      <c r="I245" s="1"/>
      <c r="J245" s="1"/>
      <c r="K245" s="1"/>
    </row>
    <row r="246" spans="1:11" x14ac:dyDescent="0.25">
      <c r="A246" s="1" t="str">
        <f>IF(receta!A246="","",receta!A246)</f>
        <v/>
      </c>
      <c r="B246" s="1"/>
      <c r="C246" s="4"/>
      <c r="D246" s="4"/>
      <c r="E246" s="1"/>
      <c r="F246" s="1"/>
      <c r="G246" s="1"/>
      <c r="H246" s="5"/>
      <c r="I246" s="1"/>
      <c r="J246" s="1"/>
      <c r="K246" s="1"/>
    </row>
    <row r="247" spans="1:11" x14ac:dyDescent="0.25">
      <c r="A247" s="1" t="str">
        <f>IF(receta!A247="","",receta!A247)</f>
        <v/>
      </c>
      <c r="B247" s="1"/>
      <c r="C247" s="4"/>
      <c r="D247" s="4"/>
      <c r="E247" s="1"/>
      <c r="F247" s="1"/>
      <c r="G247" s="1"/>
      <c r="H247" s="5"/>
      <c r="I247" s="1"/>
      <c r="J247" s="1"/>
      <c r="K247" s="1"/>
    </row>
    <row r="248" spans="1:11" x14ac:dyDescent="0.25">
      <c r="A248" s="1" t="str">
        <f>IF(receta!A248="","",receta!A248)</f>
        <v/>
      </c>
      <c r="B248" s="1"/>
      <c r="C248" s="4"/>
      <c r="D248" s="4"/>
      <c r="E248" s="1"/>
      <c r="F248" s="1"/>
      <c r="G248" s="1"/>
      <c r="H248" s="5"/>
      <c r="I248" s="1"/>
      <c r="J248" s="1"/>
      <c r="K248" s="1"/>
    </row>
    <row r="249" spans="1:11" x14ac:dyDescent="0.25">
      <c r="A249" s="1" t="str">
        <f>IF(receta!A249="","",receta!A249)</f>
        <v/>
      </c>
      <c r="B249" s="1"/>
      <c r="C249" s="4"/>
      <c r="D249" s="4"/>
      <c r="E249" s="1"/>
      <c r="F249" s="1"/>
      <c r="G249" s="1"/>
      <c r="H249" s="5"/>
      <c r="I249" s="1"/>
      <c r="J249" s="1"/>
      <c r="K249" s="1"/>
    </row>
    <row r="250" spans="1:11" x14ac:dyDescent="0.25">
      <c r="A250" s="1" t="str">
        <f>IF(receta!A250="","",receta!A250)</f>
        <v/>
      </c>
      <c r="B250" s="1"/>
      <c r="C250" s="4"/>
      <c r="D250" s="4"/>
      <c r="E250" s="1"/>
      <c r="F250" s="1"/>
      <c r="G250" s="1"/>
      <c r="H250" s="5"/>
      <c r="I250" s="1"/>
      <c r="J250" s="1"/>
      <c r="K250" s="1"/>
    </row>
  </sheetData>
  <autoFilter ref="A1:K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H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H87" r:id="rId22" xr:uid="{70752851-D4D1-4DCF-A784-B9D16B8F1106}"/>
    <hyperlink ref="F53" r:id="rId23" xr:uid="{FA713CE0-2518-480D-B68E-5A2C0E73A2D3}"/>
    <hyperlink ref="F40" r:id="rId24" xr:uid="{CB351BCB-22FD-41E4-B165-06D8C42BB045}"/>
    <hyperlink ref="F62" r:id="rId25" xr:uid="{10BF7753-E14E-413E-8909-50993D555DCD}"/>
    <hyperlink ref="H63" r:id="rId26" xr:uid="{42834E67-7A35-4EA1-AD87-66249C0E7460}"/>
    <hyperlink ref="F59" r:id="rId27" xr:uid="{4F9542BD-7BD3-436E-8F7D-8129456254A0}"/>
    <hyperlink ref="H17" r:id="rId28" xr:uid="{6B30F263-7BC5-45CD-813B-273E951F9DD5}"/>
    <hyperlink ref="H28" r:id="rId29" xr:uid="{3C78B1C2-904E-4657-BDF8-8F9F51757BD2}"/>
    <hyperlink ref="H43" r:id="rId30" xr:uid="{97B90A8F-880F-476C-AE70-F5520CEE28BE}"/>
    <hyperlink ref="H50" r:id="rId31" xr:uid="{505C68DA-9360-425D-A4C6-00CCBD9804FE}"/>
    <hyperlink ref="H123" r:id="rId32" xr:uid="{177A866F-431B-4D06-912E-758AA32E2DBB}"/>
    <hyperlink ref="H119" r:id="rId33" xr:uid="{2CC1FD11-45F7-4E90-8180-4808569A466E}"/>
    <hyperlink ref="H72" r:id="rId34" xr:uid="{716EB464-A291-40E8-95EF-4C1BEB94A9E9}"/>
    <hyperlink ref="F117" r:id="rId35" xr:uid="{6A2CA4F1-AB09-430D-9DDC-D0B22E47A043}"/>
    <hyperlink ref="F140" r:id="rId36" xr:uid="{ACB1AE2E-AD8F-44A3-9167-37C0CFC2B153}"/>
    <hyperlink ref="F71" r:id="rId37" xr:uid="{A0310311-45B1-42AB-B4D5-454C1A2F857A}"/>
    <hyperlink ref="F104" r:id="rId38" xr:uid="{5F1FE064-20CD-4CD0-BFCD-2A29DCE05378}"/>
    <hyperlink ref="F50" r:id="rId39" xr:uid="{B9029BDE-2CF2-4C7F-8412-0C40AE11F68F}"/>
    <hyperlink ref="F112" r:id="rId40" xr:uid="{9D0D4CC8-CC22-44E2-B264-DD6DC0AAB856}"/>
    <hyperlink ref="F118" r:id="rId41" xr:uid="{D0F5E38C-8D61-4A45-9420-0674EA07BF30}"/>
    <hyperlink ref="F38" r:id="rId42" xr:uid="{262EA65B-7E4E-40E7-83C0-33F10D141492}"/>
    <hyperlink ref="H108" r:id="rId43" xr:uid="{D354F0C5-47C3-4AC8-89C3-72A923D81147}"/>
    <hyperlink ref="F143" r:id="rId44" xr:uid="{F8159653-E06F-48AC-B06F-F96FF8FAC6FB}"/>
    <hyperlink ref="F22" r:id="rId45" xr:uid="{D5C24302-111F-4DD4-B671-45B434C1F272}"/>
    <hyperlink ref="F37" r:id="rId46" xr:uid="{BC8299D9-94A5-4297-8A97-2305D757D1DF}"/>
    <hyperlink ref="F110" r:id="rId47" xr:uid="{D9F12F69-7825-432C-8F17-8179F5ACB838}"/>
    <hyperlink ref="F90" r:id="rId48" xr:uid="{05CA1CBC-8ECD-4A48-9B49-7B0A090F5B0A}"/>
    <hyperlink ref="F48" r:id="rId49" xr:uid="{5B202746-9CD3-4DEA-86F6-B02FBFECC9BD}"/>
    <hyperlink ref="F141" r:id="rId50" xr:uid="{75E0E620-EEE7-456F-8B1D-E144584094F6}"/>
    <hyperlink ref="F91" r:id="rId51" xr:uid="{FAD199C6-5901-4269-B73C-7936FE7D51A0}"/>
    <hyperlink ref="F148" r:id="rId52" xr:uid="{A5AAC270-3690-4B95-8FC8-A8FD0A109532}"/>
    <hyperlink ref="F32" r:id="rId53" xr:uid="{04E04D75-704C-4FE6-A3DA-E28677DD7E74}"/>
    <hyperlink ref="F147" r:id="rId54" xr:uid="{DEED7687-3797-41E5-8622-295B72CFDA25}"/>
    <hyperlink ref="H74" r:id="rId55" xr:uid="{92BCF14D-68BF-4577-A968-400B7094B7EC}"/>
    <hyperlink ref="F49" r:id="rId56" xr:uid="{2147548B-F6F7-4EB8-9101-1DF8578426C8}"/>
    <hyperlink ref="J154" r:id="rId57" xr:uid="{159A8B66-145C-4FBD-93E9-54444710C298}"/>
    <hyperlink ref="F78" r:id="rId58" xr:uid="{160BFB4E-F52C-4586-9551-1CC63AFC8DC9}"/>
    <hyperlink ref="J78" r:id="rId59" xr:uid="{9CF2EC77-5892-4BF7-8320-49B85E7226D1}"/>
    <hyperlink ref="F156" r:id="rId60" xr:uid="{E88376AE-94E5-45C8-B9C6-C745DAA369F1}"/>
    <hyperlink ref="K158" r:id="rId61"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2" xr:uid="{5E921682-2244-4A8F-895D-0E726F507E4B}"/>
    <hyperlink ref="F162" r:id="rId63" xr:uid="{EF657F86-A49C-4DF5-9318-9BE891FDC415}"/>
    <hyperlink ref="F163" r:id="rId64" xr:uid="{8B571519-9B2E-4DBD-AB73-A1220F412D75}"/>
    <hyperlink ref="F125" r:id="rId65" xr:uid="{B8E5BCD6-A355-47CC-A5DA-2F0E1F25AE0F}"/>
  </hyperlinks>
  <pageMargins left="0.7" right="0.7" top="0.75" bottom="0.75" header="0.3" footer="0.3"/>
  <pageSetup orientation="portrait" r:id="rId6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778</v>
      </c>
      <c r="C2" t="s">
        <v>580</v>
      </c>
    </row>
    <row r="3" spans="1:3" x14ac:dyDescent="0.25">
      <c r="A3" t="s">
        <v>67</v>
      </c>
      <c r="B3" t="s">
        <v>779</v>
      </c>
      <c r="C3" t="s">
        <v>202</v>
      </c>
    </row>
    <row r="4" spans="1:3" x14ac:dyDescent="0.25">
      <c r="A4" t="s">
        <v>68</v>
      </c>
      <c r="B4" t="s">
        <v>780</v>
      </c>
      <c r="C4" t="s">
        <v>618</v>
      </c>
    </row>
    <row r="5" spans="1:3" x14ac:dyDescent="0.25">
      <c r="A5" t="s">
        <v>63</v>
      </c>
      <c r="B5" t="s">
        <v>781</v>
      </c>
      <c r="C5" t="s">
        <v>203</v>
      </c>
    </row>
    <row r="6" spans="1:3" x14ac:dyDescent="0.25">
      <c r="A6" t="s">
        <v>69</v>
      </c>
      <c r="B6" t="s">
        <v>783</v>
      </c>
      <c r="C6" t="s">
        <v>785</v>
      </c>
    </row>
    <row r="7" spans="1:3" x14ac:dyDescent="0.25">
      <c r="A7" t="s">
        <v>70</v>
      </c>
      <c r="B7" t="s">
        <v>782</v>
      </c>
      <c r="C7" t="s">
        <v>71</v>
      </c>
    </row>
    <row r="8" spans="1:3" x14ac:dyDescent="0.25">
      <c r="A8" t="s">
        <v>736</v>
      </c>
      <c r="B8" t="s">
        <v>786</v>
      </c>
      <c r="C8" t="s">
        <v>784</v>
      </c>
    </row>
    <row r="9" spans="1:3" x14ac:dyDescent="0.25">
      <c r="A9" t="s">
        <v>812</v>
      </c>
      <c r="B9" t="s">
        <v>813</v>
      </c>
      <c r="C9" t="s">
        <v>814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520</v>
      </c>
    </row>
    <row r="3" spans="1:2" ht="90" x14ac:dyDescent="0.25">
      <c r="A3" s="23" t="s">
        <v>116</v>
      </c>
      <c r="B3" s="23" t="s">
        <v>521</v>
      </c>
    </row>
    <row r="4" spans="1:2" ht="90" x14ac:dyDescent="0.25">
      <c r="A4" s="23" t="s">
        <v>117</v>
      </c>
      <c r="B4" s="23" t="s">
        <v>522</v>
      </c>
    </row>
    <row r="5" spans="1:2" ht="75" x14ac:dyDescent="0.25">
      <c r="A5" s="23" t="s">
        <v>118</v>
      </c>
      <c r="B5" s="23" t="s">
        <v>523</v>
      </c>
    </row>
    <row r="6" spans="1:2" ht="75" x14ac:dyDescent="0.25">
      <c r="A6" s="23" t="s">
        <v>119</v>
      </c>
      <c r="B6" s="23" t="s">
        <v>524</v>
      </c>
    </row>
    <row r="7" spans="1:2" ht="75" x14ac:dyDescent="0.25">
      <c r="A7" s="23" t="s">
        <v>120</v>
      </c>
      <c r="B7" s="23" t="s">
        <v>525</v>
      </c>
    </row>
    <row r="8" spans="1:2" ht="90" x14ac:dyDescent="0.25">
      <c r="A8" s="23" t="s">
        <v>215</v>
      </c>
      <c r="B8" s="23" t="s">
        <v>526</v>
      </c>
    </row>
    <row r="9" spans="1:2" ht="75" x14ac:dyDescent="0.25">
      <c r="A9" s="23" t="s">
        <v>430</v>
      </c>
      <c r="B9" s="23" t="s">
        <v>772</v>
      </c>
    </row>
    <row r="10" spans="1:2" ht="90" x14ac:dyDescent="0.25">
      <c r="A10" s="23" t="s">
        <v>519</v>
      </c>
      <c r="B10" s="23" t="s">
        <v>527</v>
      </c>
    </row>
    <row r="11" spans="1:2" ht="90" x14ac:dyDescent="0.25">
      <c r="A11" s="23" t="s">
        <v>706</v>
      </c>
      <c r="B11" s="23" t="s">
        <v>707</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2026-02-05T12:44:46Z</dcterms:modified>
</cp:coreProperties>
</file>