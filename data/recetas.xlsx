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C5CB398C-ECC1-4397-955E-657F10BABF5E}"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receta!$A$1:$ED$152</definedName>
    <definedName name="_xlnm._FilterDatabase" localSheetId="2" hidden="1">recurso!$A$1:$H$250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3" i="1" l="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<sst xmlns="http://schemas.openxmlformats.org/spreadsheetml/2006/main" count="1280" uniqueCount="791">
  <si>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</si>
  <si>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</si>
  <si>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</si>
  <si>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</si>
  <si>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</si>
  <si>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</si>
  <si>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</si>
  <si>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</si>
  <si>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</si>
  <si>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</si>
  <si>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</si>
  <si>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</si>
  <si>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</si>
  <si>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</si>
  <si>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</si>
  <si>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</si>
  <si>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</si>
  <si>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</si>
  <si>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</si>
  <si>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</si>
  <si>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</si>
  <si>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</si>
  <si>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</si>
  <si>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</si>
  <si>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</si>
  <si>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</si>
  <si>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</si>
  <si>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</si>
  <si>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</si>
  <si>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</si>
  <si>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</si>
  <si>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</si>
  <si>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</si>
  <si>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</si>
  <si>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</si>
  <si>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</si>
  <si>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</si>
  <si>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</si>
  <si>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</si>
  <si>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</si>
  <si>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</si>
  <si>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</si>
  <si>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</si>
  <si>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</si>
  <si>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</si>
  <si>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</si>
  <si>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</si>
  <si>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</si>
  <si>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</si>
  <si>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</si>
  <si>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</si>
  <si>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</si>
  <si>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</si>
  <si>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</si>
  <si>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</si>
  <si>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</si>
  <si>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</si>
  <si>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</si>
  <si>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</si>
  <si>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</si>
  <si>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</si>
  <si>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</si>
  <si>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</si>
  <si>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</si>
  <si>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Capas</t>
  </si>
  <si>
    <t>cantidad_hielo</t>
  </si>
  <si>
    <t>nombre_español</t>
  </si>
  <si>
    <t>descripción</t>
  </si>
  <si>
    <t>Stirring</t>
  </si>
  <si>
    <t>Blending</t>
  </si>
  <si>
    <t>Muddling</t>
  </si>
  <si>
    <t>Layering</t>
  </si>
  <si>
    <t>Agitar</t>
  </si>
  <si>
    <t>Revolver</t>
  </si>
  <si>
    <t>Licuar</t>
  </si>
  <si>
    <t>Construir</t>
  </si>
  <si>
    <t>Machacar</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</si>
  <si>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</si>
  <si>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</si>
  <si>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</si>
  <si>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</si>
  <si>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</si>
  <si>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</si>
  <si>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</si>
  <si>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</si>
  <si>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</si>
  <si>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</si>
  <si>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</si>
  <si>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</si>
  <si>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</si>
  <si>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</si>
  <si>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</si>
  <si>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</si>
  <si>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</si>
  <si>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</si>
  <si>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</si>
  <si>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</si>
  <si>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</si>
  <si>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</si>
  <si>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</si>
  <si>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</si>
  <si>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</si>
  <si>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</si>
  <si>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</si>
  <si>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</si>
  <si>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</si>
  <si>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</si>
  <si>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</si>
  <si>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</si>
  <si>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</si>
  <si>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</si>
  <si>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</si>
  <si>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</si>
  <si>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</si>
  <si>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</si>
  <si>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</si>
  <si>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</si>
  <si>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</si>
  <si>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</si>
  <si>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</si>
  <si>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</si>
  <si>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</si>
  <si>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</si>
  <si>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</si>
  <si>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</si>
  <si>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</si>
  <si>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</si>
  <si>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</si>
  <si>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</si>
  <si>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</si>
  <si>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</si>
  <si>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</si>
  <si>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</si>
  <si>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</si>
  <si>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</si>
  <si>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</si>
  <si>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</si>
  <si>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</si>
  <si>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</si>
  <si>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</si>
  <si>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</si>
  <si>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</si>
  <si>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</si>
  <si>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</si>
  <si>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</si>
  <si>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</si>
  <si>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</si>
  <si>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</si>
  <si>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</si>
  <si>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</si>
  <si>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</si>
  <si>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</si>
  <si>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</si>
  <si>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</si>
  <si>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</si>
  <si>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</si>
  <si>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</si>
  <si>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</si>
  <si>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</si>
  <si>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</si>
  <si>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</si>
  <si>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</si>
  <si>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</si>
  <si>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</si>
  <si>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</si>
  <si>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</si>
  <si>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</si>
  <si>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</si>
  <si>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</si>
  <si>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</si>
  <si>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</si>
  <si>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</si>
  <si>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</si>
  <si>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</si>
  <si>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</si>
  <si>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</si>
  <si>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</si>
  <si>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</si>
  <si>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</si>
  <si>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</si>
  <si>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</si>
  <si>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</si>
  <si>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</si>
  <si>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</si>
  <si>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</si>
  <si>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</si>
  <si>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</si>
  <si>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</si>
  <si>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</si>
  <si>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</si>
  <si>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</si>
  <si>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</si>
  <si>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</si>
  <si>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</si>
  <si>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</si>
  <si>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</si>
  <si>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</si>
  <si>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</si>
  <si>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</si>
  <si>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</si>
  <si>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</si>
  <si>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</si>
  <si>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</si>
  <si>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</si>
  <si>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</si>
  <si>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</si>
  <si>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</si>
  <si>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</si>
  <si>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</si>
  <si>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</si>
  <si>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</si>
  <si>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</si>
  <si>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</si>
  <si>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</si>
  <si>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</si>
  <si>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</si>
  <si>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</si>
  <si>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</si>
  <si>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</si>
  <si>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</si>
  <si>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</si>
  <si>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</si>
  <si>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</si>
  <si>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</si>
  <si>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</si>
  <si>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</si>
  <si>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</si>
  <si>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</si>
  <si>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</si>
  <si>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</si>
  <si>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</si>
  <si>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</si>
  <si>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</si>
  <si>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</si>
  <si>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</si>
  <si>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</si>
  <si>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</si>
  <si>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</si>
  <si>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</si>
  <si>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</si>
  <si>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</si>
  <si>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</si>
  <si>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</si>
  <si>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</si>
  <si>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</si>
  <si>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</si>
  <si>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</si>
  <si>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</si>
  <si>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</si>
  <si>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</si>
  <si>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</si>
  <si>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</si>
  <si>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</si>
  <si>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</si>
  <si>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</si>
  <si>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</si>
  <si>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</si>
  <si>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</si>
  <si>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</si>
  <si>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</si>
  <si>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</si>
  <si>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</si>
  <si>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</si>
  <si>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</si>
  <si>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</si>
  <si>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</si>
  <si>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</si>
  <si>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</si>
  <si>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</si>
  <si>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</si>
  <si>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</si>
  <si>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</si>
  <si>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</si>
  <si>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</si>
  <si>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</si>
  <si>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</si>
  <si>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</si>
  <si>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</si>
  <si>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</si>
  <si>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</si>
  <si>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</si>
  <si>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</si>
  <si>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</si>
  <si>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</si>
  <si>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</si>
  <si>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</si>
  <si>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</si>
  <si>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</si>
  <si>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</si>
  <si>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</si>
  <si>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</si>
  <si>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</si>
  <si>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</si>
  <si>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</si>
  <si>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</si>
  <si>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</si>
  <si>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</si>
  <si>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</si>
  <si>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</si>
  <si>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</si>
  <si>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</si>
  <si>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</si>
  <si>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</si>
  <si>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</si>
  <si>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</si>
  <si>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</si>
  <si>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</si>
  <si>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</si>
  <si>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</si>
  <si>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</si>
  <si>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</si>
  <si>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</si>
  <si>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</si>
  <si>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</si>
  <si>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</si>
  <si>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</si>
  <si>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</si>
  <si>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</si>
  <si>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</si>
  <si>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</si>
  <si>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</si>
  <si>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</si>
  <si>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</si>
  <si>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</si>
  <si>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</si>
  <si>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</si>
  <si>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</si>
  <si>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</si>
  <si>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</si>
  <si>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</si>
  <si>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</si>
  <si>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</si>
  <si>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</si>
  <si>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</si>
  <si>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</si>
  <si>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</si>
  <si>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</si>
  <si>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</si>
  <si>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</si>
  <si>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</si>
  <si>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</si>
  <si>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</si>
  <si>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</si>
  <si>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</si>
  <si>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</si>
  <si>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</si>
  <si>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</si>
  <si>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</si>
  <si>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</si>
  <si>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</si>
  <si>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</si>
  <si>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</si>
  <si>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</si>
  <si>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</si>
  <si>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</si>
  <si>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</si>
  <si>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</si>
  <si>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</si>
  <si>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</si>
  <si>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</si>
  <si>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</si>
  <si>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</si>
  <si>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</si>
  <si>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</si>
  <si>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</si>
  <si>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</si>
  <si>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</si>
  <si>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</si>
  <si>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</si>
  <si>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</si>
  <si>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</si>
  <si>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</si>
  <si>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</si>
  <si>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</si>
  <si>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</si>
  <si>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</si>
  <si>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</si>
  <si>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</si>
  <si>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</si>
  <si>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</si>
  <si>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</si>
  <si>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</si>
  <si>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</si>
  <si>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</si>
  <si>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</si>
  <si>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</si>
  <si>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</si>
  <si>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</si>
  <si>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</si>
  <si>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</si>
  <si>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</si>
  <si>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</si>
  <si>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</si>
  <si>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</si>
  <si>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</si>
  <si>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</si>
  <si>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</si>
  <si>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</si>
  <si>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</si>
  <si>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</si>
  <si>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</si>
  <si>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</si>
  <si>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</si>
  <si>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</si>
  <si>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</si>
  <si>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</si>
  <si>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</si>
  <si>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</si>
  <si>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</si>
  <si>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</si>
  <si>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</si>
  <si>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</si>
  <si>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</si>
  <si>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</si>
  <si>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</si>
  <si>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</si>
  <si>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</si>
  <si>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</si>
  <si>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</si>
  <si>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</si>
  <si>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</si>
  <si>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</si>
  <si>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</si>
  <si>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</si>
  <si>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</si>
  <si>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</si>
  <si>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</si>
  <si>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</si>
  <si>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</si>
  <si>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</si>
  <si>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</si>
  <si>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</si>
  <si>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</si>
  <si>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</si>
  <si>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</si>
  <si>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</si>
  <si>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</si>
  <si>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</si>
  <si>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</si>
  <si>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</si>
  <si>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</si>
  <si>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</si>
  <si>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</si>
  <si>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</si>
  <si>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</si>
  <si>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</si>
  <si>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</si>
  <si>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</si>
  <si>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</si>
  <si>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</si>
  <si>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</si>
  <si>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</si>
  <si>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</si>
  <si>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</si>
  <si>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</si>
  <si>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</si>
  <si>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</si>
  <si>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</si>
  <si>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</si>
  <si>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</si>
  <si>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</si>
  <si>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</si>
  <si>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</si>
  <si>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</si>
  <si>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</si>
  <si>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</si>
  <si>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</si>
  <si>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</si>
  <si>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</si>
  <si>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</si>
  <si>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</si>
  <si>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</si>
  <si>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</si>
  <si>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</si>
  <si>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</si>
  <si>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</si>
  <si>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</si>
  <si>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</si>
  <si>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</si>
  <si>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</si>
  <si>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</si>
  <si>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</si>
  <si>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</si>
  <si>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</si>
  <si>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</si>
  <si>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</si>
  <si>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</si>
  <si>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</si>
  <si>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</si>
  <si>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</si>
  <si>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</si>
  <si>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</si>
  <si>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</si>
  <si>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</si>
  <si>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</si>
  <si>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</si>
  <si>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</si>
  <si>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</si>
  <si>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</si>
  <si>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</si>
  <si>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</si>
  <si>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</si>
  <si>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</si>
  <si>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</si>
  <si>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</si>
  <si>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</si>
  <si>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</si>
  <si>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</si>
  <si>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</si>
  <si>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</si>
  <si>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</si>
  <si>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</si>
  <si>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</si>
  <si>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</si>
  <si>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</si>
  <si>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</si>
  <si>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</si>
  <si>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</si>
  <si>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</si>
  <si>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</si>
  <si>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</si>
  <si>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</si>
  <si>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</si>
  <si>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</si>
  <si>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</si>
  <si>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</si>
  <si>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</si>
  <si>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</si>
  <si>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</si>
  <si>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</si>
  <si>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</si>
  <si>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</si>
  <si>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</si>
  <si>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</si>
  <si>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</si>
  <si>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</si>
  <si>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</si>
  <si>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</si>
  <si>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</si>
  <si>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</si>
  <si>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</si>
  <si>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</si>
  <si>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</si>
  <si>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</si>
  <si>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</si>
  <si>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</si>
  <si>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</si>
  <si>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</si>
  <si>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Existen diversas adaptaciones del cóctel, siendo una de las más comunes la que sustituye el jarabe de frambuesa por granadina, aunque los puristas suelen preferir la versión original.</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</si>
  <si>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</si>
  <si>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</si>
  <si>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</si>
  <si>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</si>
  <si>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</si>
  <si>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</si>
  <si>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</si>
  <si>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</si>
  <si>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</si>
  <si>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</si>
  <si>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</si>
  <si>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</si>
  <si>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</si>
  <si>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</si>
  <si>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</si>
  <si>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</si>
  <si>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</si>
  <si>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</si>
  <si>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</si>
  <si>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</si>
  <si>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</si>
  <si>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</si>
  <si>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</si>
  <si>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</si>
  <si>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</si>
  <si>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</si>
  <si>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</si>
  <si>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</si>
  <si>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</si>
  <si>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</si>
  <si>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</si>
  <si>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</si>
  <si>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</si>
  <si>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</si>
  <si>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</si>
  <si>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</si>
  <si>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</si>
  <si>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</si>
  <si>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</si>
  <si>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</si>
  <si>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</si>
  <si>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</si>
  <si>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</si>
  <si>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</si>
  <si>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</si>
  <si>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</si>
  <si>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</si>
  <si>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</si>
  <si>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</si>
  <si>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</si>
  <si>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</si>
  <si>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</si>
  <si>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</si>
  <si>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</si>
  <si>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</si>
  <si>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</si>
  <si>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</si>
  <si>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</si>
  <si>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</si>
  <si>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</si>
  <si>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</si>
  <si>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</si>
  <si>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</si>
  <si>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</si>
  <si>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</si>
  <si>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</si>
  <si>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</si>
  <si>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</si>
  <si>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</si>
  <si>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</si>
  <si>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</si>
  <si>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</si>
  <si>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</si>
  <si>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</si>
  <si>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</si>
  <si>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</si>
  <si>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</si>
  <si>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</si>
  <si>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</si>
  <si>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</si>
  <si>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</si>
  <si>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</si>
  <si>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</si>
  <si>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</si>
  <si>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</si>
  <si>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</si>
  <si>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</si>
  <si>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</si>
  <si>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</si>
  <si>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</si>
  <si>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</si>
  <si>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</si>
  <si>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</si>
  <si>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</si>
  <si>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</si>
  <si>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</si>
  <si>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</si>
  <si>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</si>
  <si>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</si>
  <si>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</si>
  <si>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</si>
  <si>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</si>
  <si>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</si>
  <si>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</si>
  <si>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</si>
  <si>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</si>
  <si>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</si>
  <si>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</si>
  <si>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</si>
  <si>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</si>
  <si>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</si>
  <si>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</si>
  <si>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</si>
  <si>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</si>
  <si>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</si>
  <si>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</si>
  <si>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</si>
  <si>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 xml:space="preserve">
El Terremoto es un cóctel típico chileno, muy popular durante las Fiestas Patrias. La receta tradicional utiliza vino pipeño, un vino blanco joven y dulce característico de Chile.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</si>
  <si>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</si>
  <si>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</si>
  <si>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</si>
  <si>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</si>
  <si>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</si>
  <si>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</si>
  <si>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</si>
  <si>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</si>
  <si>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</si>
  <si>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</si>
  <si>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</si>
  <si>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</si>
  <si>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</si>
  <si>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</si>
  <si>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</si>
  <si>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</si>
  <si>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</si>
  <si>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</si>
  <si>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</si>
  <si>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</si>
  <si>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</si>
  <si>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</si>
  <si>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</si>
  <si>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</si>
  <si>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</si>
  <si>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</si>
  <si>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</si>
  <si>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</si>
  <si>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</si>
  <si>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</si>
  <si>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</si>
  <si>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</si>
  <si>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</si>
  <si>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</si>
  <si>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</si>
  <si>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</si>
  <si>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</si>
  <si>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</si>
  <si>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</si>
  <si>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</si>
  <si>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</si>
  <si>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</si>
  <si>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</si>
  <si>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</si>
  <si>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</si>
  <si>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</si>
  <si>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</si>
  <si>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</si>
  <si>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</si>
  <si>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</si>
  <si>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</si>
  <si>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</si>
  <si>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</si>
  <si>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</si>
  <si>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</si>
  <si>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</si>
  <si>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</si>
  <si>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</si>
  <si>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</si>
  <si>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</si>
  <si>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</si>
  <si>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</si>
  <si>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</si>
  <si>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</si>
  <si>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</si>
  <si>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</si>
  <si>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</si>
  <si>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</si>
  <si>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</si>
  <si>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</si>
  <si>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</si>
  <si>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</si>
  <si>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</si>
  <si>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</si>
  <si>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</si>
  <si>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</si>
  <si>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</si>
  <si>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</si>
  <si>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</si>
  <si>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Se machacan los ingredientes sólidos, como hierbas o frutas, en la base del vaso o coctelera, para liberar sus aceites, sabores y aromas.</t>
  </si>
  <si>
    <t>Muddling + Shaking</t>
  </si>
  <si>
    <t>Verter todos los ingredientes en una coctelera con hielo. Agitar vigorosamente hasta enfriar bien y colar en una copa de cóctel fría.</t>
  </si>
  <si>
    <t>Machacar y Agitar</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</si>
  <si>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</si>
  <si>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</si>
  <si>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</si>
  <si>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de México se distingue claramente entre:
- Chelada: cerveza con hielo, sal y limón.
- Michelada: chelada con salsas y condimentos adicionales, como salsa inglesa, jugo Maggi, salsa picante o de soya.</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</si>
  <si>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</si>
  <si>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</si>
  <si>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</si>
  <si>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</si>
  <si>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</si>
  <si>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</si>
  <si>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</si>
  <si>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Suele servirse en un vaso escarchado con sal (y a veces chile en polvo), ideal para refrescar y estimular el paladar. Para escarchar el vaso, se humedece el borde con jugo de limón y luego se presiona suavemente contra la sal y demás ingredientes, girándolo para que se adhieran.</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</si>
  <si>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</si>
  <si>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</si>
  <si>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</si>
  <si>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</si>
  <si>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</si>
  <si>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</si>
  <si>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</si>
  <si>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</si>
  <si>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</si>
  <si>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</si>
  <si>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</si>
  <si>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</si>
  <si>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</si>
  <si>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Se machacan los ingredientes sólidos en el fondo de la coctelera para extraer sus aromas y sabores. Luego se agrega el hielo y los demás ingredientes, y se agita la coctelera para mezclar, enfriar y airear el cóctel.</t>
  </si>
  <si>
    <t>Pantera Rosa</t>
  </si>
  <si>
    <t>https://www.youtube.com/watch?v=lp6z3s1Gig0</t>
  </si>
  <si>
    <t xml:space="preserve"> Henry Mancini - "The Pink Panther Theme" (1963)</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</si>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</sst>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1">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5">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26" Type="http://schemas.openxmlformats.org/officeDocument/2006/relationships/hyperlink" Target="https://www.youtube.com/watch?v=WKf6g9DaBWM" TargetMode="External"/><Relationship Id="rId39" Type="http://schemas.openxmlformats.org/officeDocument/2006/relationships/hyperlink" Target="https://www.youtube.com/watch?v=S43YhQ_eGTw"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5w4W-lVZR5c" TargetMode="External"/><Relationship Id="rId42" Type="http://schemas.openxmlformats.org/officeDocument/2006/relationships/hyperlink" Target="https://www.youtube.com/watch?v=5XrSIDhuipQ" TargetMode="External"/><Relationship Id="rId47" Type="http://schemas.openxmlformats.org/officeDocument/2006/relationships/hyperlink" Target="https://www.youtube.com/watch?v=IXzo_5w34SI" TargetMode="External"/><Relationship Id="rId50" Type="http://schemas.openxmlformats.org/officeDocument/2006/relationships/hyperlink" Target="https://www.youtube.com/watch?v=usNsCeOV4GM" TargetMode="External"/><Relationship Id="rId55" Type="http://schemas.openxmlformats.org/officeDocument/2006/relationships/hyperlink" Target="https://www.youtube.com/watch?v=dyDWqLGbTKc"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ELeMaP8EPAA"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C3LutcuGKdM" TargetMode="External"/><Relationship Id="rId32" Type="http://schemas.openxmlformats.org/officeDocument/2006/relationships/hyperlink" Target="https://www.youtube.com/watch?v=FOhieo7O8-s" TargetMode="External"/><Relationship Id="rId37" Type="http://schemas.openxmlformats.org/officeDocument/2006/relationships/hyperlink" Target="https://www.youtube.com/watch?v=QKyEdDFnhy0" TargetMode="External"/><Relationship Id="rId40" Type="http://schemas.openxmlformats.org/officeDocument/2006/relationships/hyperlink" Target="https://www.youtube.com/watch?v=X_F46iwWOwo" TargetMode="External"/><Relationship Id="rId45" Type="http://schemas.openxmlformats.org/officeDocument/2006/relationships/hyperlink" Target="https://www.youtube.com/watch?v=EhEuaSa4z_I" TargetMode="External"/><Relationship Id="rId53" Type="http://schemas.openxmlformats.org/officeDocument/2006/relationships/hyperlink" Target="https://www.youtube.com/watch?v=3mbvWn1EY6g" TargetMode="External"/><Relationship Id="rId58"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19" Type="http://schemas.openxmlformats.org/officeDocument/2006/relationships/hyperlink" Target="https://www.youtube.com/watch?v=ZvqiyA14PVU"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mWB7ysFdtTI" TargetMode="External"/><Relationship Id="rId27" Type="http://schemas.openxmlformats.org/officeDocument/2006/relationships/hyperlink" Target="https://www.youtube.com/watch?v=Hr25YHpAfPc" TargetMode="External"/><Relationship Id="rId30" Type="http://schemas.openxmlformats.org/officeDocument/2006/relationships/hyperlink" Target="https://www.youtube.com/watch?v=d0PioYGdLI4" TargetMode="External"/><Relationship Id="rId35" Type="http://schemas.openxmlformats.org/officeDocument/2006/relationships/hyperlink" Target="https://www.youtube.com/watch?v=xFBFKACOGNQ" TargetMode="External"/><Relationship Id="rId43" Type="http://schemas.openxmlformats.org/officeDocument/2006/relationships/hyperlink" Target="https://www.youtube.com/watch?v=v1Zl19Ccaec" TargetMode="External"/><Relationship Id="rId48" Type="http://schemas.openxmlformats.org/officeDocument/2006/relationships/hyperlink" Target="https://www.youtube.com/watch?v=SpHQ2HwG7fA" TargetMode="External"/><Relationship Id="rId56" Type="http://schemas.openxmlformats.org/officeDocument/2006/relationships/hyperlink" Target="https://www.youtube.com/watch?v=lmQmM2wva5Q"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vTB_oFcRxh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hr6QLEuFpXo" TargetMode="External"/><Relationship Id="rId33" Type="http://schemas.openxmlformats.org/officeDocument/2006/relationships/hyperlink" Target="https://www.youtube.com/watch?v=z92bykaeV4o" TargetMode="External"/><Relationship Id="rId38" Type="http://schemas.openxmlformats.org/officeDocument/2006/relationships/hyperlink" Target="https://www.youtube.com/watch?v=UviREczpKwE" TargetMode="External"/><Relationship Id="rId46" Type="http://schemas.openxmlformats.org/officeDocument/2006/relationships/hyperlink" Target="https://www.youtube.com/watch?v=IN2YEXbkatQ"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jfO92V_rgMQ" TargetMode="External"/><Relationship Id="rId54" Type="http://schemas.openxmlformats.org/officeDocument/2006/relationships/hyperlink" Target="https://www.youtube.com/watch?v=22OZdZYeFe0"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qaw6Dz-27n4" TargetMode="External"/><Relationship Id="rId28" Type="http://schemas.openxmlformats.org/officeDocument/2006/relationships/hyperlink" Target="https://www.youtube.com/watch?v=tI-5uv4wryI" TargetMode="External"/><Relationship Id="rId36" Type="http://schemas.openxmlformats.org/officeDocument/2006/relationships/hyperlink" Target="https://www.youtube.com/watch?v=pK1rY3paVE4" TargetMode="External"/><Relationship Id="rId49" Type="http://schemas.openxmlformats.org/officeDocument/2006/relationships/hyperlink" Target="https://www.youtube.com/watch?v=EhK8PDUQUfI" TargetMode="External"/><Relationship Id="rId57" Type="http://schemas.openxmlformats.org/officeDocument/2006/relationships/hyperlink" Target="https://www.youtube.com/watch?v=OnsMHB5WtRU"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3ld8DQkC6po" TargetMode="External"/><Relationship Id="rId44" Type="http://schemas.openxmlformats.org/officeDocument/2006/relationships/hyperlink" Target="https://www.youtube.com/watch?v=d0PioYGdLI4" TargetMode="External"/><Relationship Id="rId52" Type="http://schemas.openxmlformats.org/officeDocument/2006/relationships/hyperlink" Target="https://www.youtube.com/watch?v=22OZdZYeFe0"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D250"/>
  <sheetViews>
    <sheetView workbookViewId="0">
      <pane xSplit="1" topLeftCell="B1" activePane="topRight" state="frozen"/>
      <selection pane="topRight" activeCell="C156" sqref="C156"/>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19" width="23.28515625" customWidth="1"/>
    <col min="20" max="21" width="34.28515625" customWidth="1"/>
    <col min="22" max="22" width="12.140625" bestFit="1" customWidth="1"/>
    <col min="23" max="23" width="12.140625" customWidth="1"/>
    <col min="24" max="24" width="18.140625" bestFit="1" customWidth="1"/>
    <col min="25" max="25" width="27.140625" bestFit="1" customWidth="1"/>
    <col min="26" max="32" width="34.28515625" customWidth="1"/>
    <col min="33" max="33" width="23.28515625" bestFit="1" customWidth="1"/>
    <col min="34" max="38" width="23.28515625" customWidth="1"/>
    <col min="39" max="39" width="10.28515625" bestFit="1" customWidth="1"/>
    <col min="40" max="50" width="23.28515625" customWidth="1"/>
    <col min="51" max="51" width="15.7109375" bestFit="1" customWidth="1"/>
    <col min="52" max="52" width="17.5703125" bestFit="1" customWidth="1"/>
    <col min="53" max="53" width="17" bestFit="1" customWidth="1"/>
    <col min="54" max="54" width="14.5703125" bestFit="1" customWidth="1"/>
    <col min="55" max="55" width="14.28515625" bestFit="1" customWidth="1"/>
    <col min="56" max="56" width="16.28515625" bestFit="1" customWidth="1"/>
    <col min="57" max="57" width="16.85546875" bestFit="1" customWidth="1"/>
    <col min="58" max="58" width="15.85546875" bestFit="1" customWidth="1"/>
    <col min="59" max="59" width="15.85546875" customWidth="1"/>
    <col min="60" max="60" width="14.42578125" bestFit="1" customWidth="1"/>
    <col min="61" max="65" width="14.42578125" customWidth="1"/>
    <col min="66" max="66" width="16.42578125" bestFit="1" customWidth="1"/>
    <col min="67" max="73" width="14.42578125" customWidth="1"/>
    <col min="74" max="74" width="18.5703125" bestFit="1" customWidth="1"/>
    <col min="75" max="75" width="18.5703125" customWidth="1"/>
    <col min="76" max="77" width="13.7109375" customWidth="1"/>
    <col min="78" max="78" width="13.5703125" bestFit="1" customWidth="1"/>
    <col min="79" max="79" width="13.5703125" customWidth="1"/>
    <col min="80" max="80" width="17.28515625" bestFit="1" customWidth="1"/>
    <col min="81" max="81" width="17.5703125" bestFit="1" customWidth="1"/>
    <col min="82" max="82" width="13.7109375" bestFit="1" customWidth="1"/>
    <col min="83" max="83" width="16.85546875" bestFit="1" customWidth="1"/>
    <col min="84" max="87" width="16.85546875" customWidth="1"/>
    <col min="88" max="95" width="18.140625" customWidth="1"/>
    <col min="96" max="96" width="24.85546875" bestFit="1" customWidth="1"/>
    <col min="97" max="97" width="23.28515625" customWidth="1"/>
    <col min="98" max="98" width="21" bestFit="1" customWidth="1"/>
    <col min="99" max="101" width="24.85546875" customWidth="1"/>
    <col min="102" max="116" width="14.28515625" customWidth="1"/>
    <col min="117" max="117" width="22.5703125" bestFit="1" customWidth="1"/>
    <col min="118" max="118" width="14.28515625" bestFit="1" customWidth="1"/>
    <col min="122" max="122" width="14.28515625" bestFit="1" customWidth="1"/>
    <col min="123" max="123" width="20" bestFit="1" customWidth="1"/>
    <col min="124" max="124" width="12.7109375" bestFit="1" customWidth="1"/>
    <col min="125" max="125" width="13.85546875" bestFit="1" customWidth="1"/>
    <col min="126" max="129" width="13.85546875" customWidth="1"/>
  </cols>
  <sheetData>
    <row r="1" spans="1:134" s="9" customFormat="1" x14ac:dyDescent="0.25">
      <c r="A1" s="7" t="s">
        <v>78</v>
      </c>
      <c r="B1" s="7" t="s">
        <v>48</v>
      </c>
      <c r="C1" s="7" t="s">
        <v>61</v>
      </c>
      <c r="D1" s="7" t="s">
        <v>6</v>
      </c>
      <c r="E1" s="7" t="s">
        <v>65</v>
      </c>
      <c r="F1" s="7" t="s">
        <v>2</v>
      </c>
      <c r="G1" s="7" t="s">
        <v>3</v>
      </c>
      <c r="H1" s="7" t="s">
        <v>37</v>
      </c>
      <c r="I1" s="7" t="s">
        <v>80</v>
      </c>
      <c r="J1" s="7" t="s">
        <v>81</v>
      </c>
      <c r="K1" s="7" t="s">
        <v>82</v>
      </c>
      <c r="L1" s="7" t="s">
        <v>83</v>
      </c>
      <c r="M1" s="7" t="s">
        <v>287</v>
      </c>
      <c r="N1" s="7" t="s">
        <v>84</v>
      </c>
      <c r="O1" s="7" t="s">
        <v>707</v>
      </c>
      <c r="P1" s="7" t="s">
        <v>85</v>
      </c>
      <c r="Q1" s="7" t="s">
        <v>235</v>
      </c>
      <c r="R1" s="7" t="s">
        <v>271</v>
      </c>
      <c r="S1" s="7" t="s">
        <v>577</v>
      </c>
      <c r="T1" s="7" t="s">
        <v>632</v>
      </c>
      <c r="U1" s="7" t="s">
        <v>86</v>
      </c>
      <c r="V1" s="7" t="s">
        <v>87</v>
      </c>
      <c r="W1" s="7" t="s">
        <v>201</v>
      </c>
      <c r="X1" s="7" t="s">
        <v>202</v>
      </c>
      <c r="Y1" s="7" t="s">
        <v>621</v>
      </c>
      <c r="Z1" s="7" t="s">
        <v>88</v>
      </c>
      <c r="AA1" s="7" t="s">
        <v>89</v>
      </c>
      <c r="AB1" s="7" t="s">
        <v>255</v>
      </c>
      <c r="AC1" s="7" t="s">
        <v>90</v>
      </c>
      <c r="AD1" s="7" t="s">
        <v>91</v>
      </c>
      <c r="AE1" s="7" t="s">
        <v>239</v>
      </c>
      <c r="AF1" s="7" t="s">
        <v>92</v>
      </c>
      <c r="AG1" s="7" t="s">
        <v>93</v>
      </c>
      <c r="AH1" s="7" t="s">
        <v>561</v>
      </c>
      <c r="AI1" s="7" t="s">
        <v>229</v>
      </c>
      <c r="AJ1" s="7" t="s">
        <v>94</v>
      </c>
      <c r="AK1" s="7" t="s">
        <v>269</v>
      </c>
      <c r="AL1" s="7" t="s">
        <v>96</v>
      </c>
      <c r="AM1" s="7" t="s">
        <v>97</v>
      </c>
      <c r="AN1" s="7" t="s">
        <v>98</v>
      </c>
      <c r="AO1" s="7" t="s">
        <v>159</v>
      </c>
      <c r="AP1" s="7" t="s">
        <v>206</v>
      </c>
      <c r="AQ1" s="7" t="s">
        <v>215</v>
      </c>
      <c r="AR1" s="7" t="s">
        <v>764</v>
      </c>
      <c r="AS1" s="7" t="s">
        <v>236</v>
      </c>
      <c r="AT1" s="7" t="s">
        <v>99</v>
      </c>
      <c r="AU1" s="7" t="s">
        <v>267</v>
      </c>
      <c r="AV1" s="7" t="s">
        <v>307</v>
      </c>
      <c r="AW1" s="7" t="s">
        <v>100</v>
      </c>
      <c r="AX1" s="7" t="s">
        <v>95</v>
      </c>
      <c r="AY1" s="7" t="s">
        <v>106</v>
      </c>
      <c r="AZ1" s="7" t="s">
        <v>107</v>
      </c>
      <c r="BA1" s="8" t="s">
        <v>108</v>
      </c>
      <c r="BB1" s="8" t="s">
        <v>109</v>
      </c>
      <c r="BC1" s="8" t="s">
        <v>110</v>
      </c>
      <c r="BD1" s="8" t="s">
        <v>111</v>
      </c>
      <c r="BE1" s="8" t="s">
        <v>112</v>
      </c>
      <c r="BF1" s="8" t="s">
        <v>249</v>
      </c>
      <c r="BG1" s="8" t="s">
        <v>304</v>
      </c>
      <c r="BH1" s="8" t="s">
        <v>113</v>
      </c>
      <c r="BI1" s="8" t="s">
        <v>318</v>
      </c>
      <c r="BJ1" s="8" t="s">
        <v>114</v>
      </c>
      <c r="BK1" s="8" t="s">
        <v>216</v>
      </c>
      <c r="BL1" s="8" t="s">
        <v>115</v>
      </c>
      <c r="BM1" s="8" t="s">
        <v>116</v>
      </c>
      <c r="BN1" s="8" t="s">
        <v>117</v>
      </c>
      <c r="BO1" s="8" t="s">
        <v>118</v>
      </c>
      <c r="BP1" s="8" t="s">
        <v>288</v>
      </c>
      <c r="BQ1" s="8" t="s">
        <v>311</v>
      </c>
      <c r="BR1" s="8" t="s">
        <v>290</v>
      </c>
      <c r="BS1" s="8" t="s">
        <v>119</v>
      </c>
      <c r="BT1" s="8" t="s">
        <v>120</v>
      </c>
      <c r="BU1" s="8" t="s">
        <v>158</v>
      </c>
      <c r="BV1" s="7" t="s">
        <v>286</v>
      </c>
      <c r="BW1" s="7" t="s">
        <v>586</v>
      </c>
      <c r="BX1" s="8" t="s">
        <v>204</v>
      </c>
      <c r="BY1" s="8" t="s">
        <v>127</v>
      </c>
      <c r="BZ1" s="8" t="s">
        <v>121</v>
      </c>
      <c r="CA1" s="8" t="s">
        <v>122</v>
      </c>
      <c r="CB1" s="8" t="s">
        <v>123</v>
      </c>
      <c r="CC1" s="8" t="s">
        <v>124</v>
      </c>
      <c r="CD1" s="8" t="s">
        <v>125</v>
      </c>
      <c r="CE1" s="8" t="s">
        <v>126</v>
      </c>
      <c r="CF1" s="8" t="s">
        <v>436</v>
      </c>
      <c r="CG1" s="8" t="s">
        <v>221</v>
      </c>
      <c r="CH1" s="8" t="s">
        <v>716</v>
      </c>
      <c r="CI1" s="8" t="s">
        <v>525</v>
      </c>
      <c r="CJ1" s="7" t="s">
        <v>101</v>
      </c>
      <c r="CK1" s="7" t="s">
        <v>102</v>
      </c>
      <c r="CL1" s="7" t="s">
        <v>103</v>
      </c>
      <c r="CM1" s="7" t="s">
        <v>536</v>
      </c>
      <c r="CN1" s="7" t="s">
        <v>393</v>
      </c>
      <c r="CO1" s="7" t="s">
        <v>104</v>
      </c>
      <c r="CP1" s="7" t="s">
        <v>496</v>
      </c>
      <c r="CQ1" s="7" t="s">
        <v>105</v>
      </c>
      <c r="CR1" s="8" t="s">
        <v>128</v>
      </c>
      <c r="CS1" s="7" t="s">
        <v>220</v>
      </c>
      <c r="CT1" s="7" t="s">
        <v>160</v>
      </c>
      <c r="CU1" s="18" t="s">
        <v>682</v>
      </c>
      <c r="CV1" s="18" t="s">
        <v>685</v>
      </c>
      <c r="CW1" s="18" t="s">
        <v>681</v>
      </c>
      <c r="CX1" s="15" t="s">
        <v>142</v>
      </c>
      <c r="CY1" s="15" t="s">
        <v>141</v>
      </c>
      <c r="CZ1" s="15" t="s">
        <v>687</v>
      </c>
      <c r="DA1" s="15" t="s">
        <v>579</v>
      </c>
      <c r="DB1" s="15" t="s">
        <v>580</v>
      </c>
      <c r="DC1" s="15" t="s">
        <v>714</v>
      </c>
      <c r="DD1" s="15" t="s">
        <v>695</v>
      </c>
      <c r="DE1" s="15" t="s">
        <v>617</v>
      </c>
      <c r="DF1" s="15" t="s">
        <v>618</v>
      </c>
      <c r="DG1" s="15" t="s">
        <v>534</v>
      </c>
      <c r="DH1" s="15" t="s">
        <v>147</v>
      </c>
      <c r="DI1" s="15" t="s">
        <v>243</v>
      </c>
      <c r="DJ1" s="15" t="s">
        <v>619</v>
      </c>
      <c r="DK1" s="15" t="s">
        <v>581</v>
      </c>
      <c r="DL1" s="15" t="s">
        <v>616</v>
      </c>
      <c r="DM1" s="15" t="s">
        <v>578</v>
      </c>
      <c r="DN1" s="15" t="s">
        <v>567</v>
      </c>
      <c r="DO1" s="21" t="s">
        <v>570</v>
      </c>
      <c r="DP1" s="14" t="s">
        <v>622</v>
      </c>
      <c r="DQ1" s="12" t="s">
        <v>240</v>
      </c>
      <c r="DR1" s="12" t="s">
        <v>292</v>
      </c>
      <c r="DS1" s="16" t="s">
        <v>129</v>
      </c>
      <c r="DT1" s="17" t="s">
        <v>130</v>
      </c>
      <c r="DU1" s="17" t="s">
        <v>131</v>
      </c>
      <c r="DV1" s="17" t="s">
        <v>633</v>
      </c>
      <c r="DW1" s="17" t="s">
        <v>569</v>
      </c>
      <c r="DX1" s="19" t="s">
        <v>623</v>
      </c>
      <c r="DY1" s="19" t="s">
        <v>634</v>
      </c>
      <c r="DZ1" s="19" t="s">
        <v>132</v>
      </c>
      <c r="EA1" s="19" t="s">
        <v>133</v>
      </c>
      <c r="EB1" s="19" t="s">
        <v>134</v>
      </c>
      <c r="EC1" s="20" t="s">
        <v>237</v>
      </c>
      <c r="ED1" s="20" t="s">
        <v>238</v>
      </c>
    </row>
    <row r="2" spans="1:134" x14ac:dyDescent="0.25">
      <c r="A2" s="1" t="s">
        <v>282</v>
      </c>
      <c r="B2" s="1" t="s">
        <v>284</v>
      </c>
      <c r="C2" s="2" t="s">
        <v>63</v>
      </c>
      <c r="D2" s="1">
        <v>1500</v>
      </c>
      <c r="E2" s="1">
        <v>300</v>
      </c>
      <c r="F2" s="2" t="s">
        <v>59</v>
      </c>
      <c r="G2" s="1">
        <v>1200</v>
      </c>
      <c r="H2" s="2">
        <f t="shared" ref="H2:H33" si="0">SUM(I2:CW2)</f>
        <v>1110</v>
      </c>
      <c r="I2" s="1"/>
      <c r="J2" s="1">
        <v>60</v>
      </c>
      <c r="K2" s="1">
        <v>60</v>
      </c>
      <c r="L2" s="1"/>
      <c r="M2" s="1"/>
      <c r="N2" s="1"/>
      <c r="O2" s="1"/>
      <c r="P2" s="1"/>
      <c r="Q2" s="1"/>
      <c r="R2" s="1"/>
      <c r="S2" s="1"/>
      <c r="T2" s="1"/>
      <c r="U2" s="1"/>
      <c r="V2" s="1"/>
      <c r="W2" s="1"/>
      <c r="X2" s="1">
        <v>300</v>
      </c>
      <c r="Y2" s="1"/>
      <c r="Z2" s="1"/>
      <c r="AA2" s="1"/>
      <c r="AB2" s="1"/>
      <c r="AC2" s="1"/>
      <c r="AD2" s="1"/>
      <c r="AE2" s="1"/>
      <c r="AF2" s="1"/>
      <c r="AG2" s="1"/>
      <c r="AH2" s="1"/>
      <c r="AI2" s="1"/>
      <c r="AJ2" s="1"/>
      <c r="AK2" s="1"/>
      <c r="AL2" s="1"/>
      <c r="AM2" s="1"/>
      <c r="AN2" s="1"/>
      <c r="AO2" s="1"/>
      <c r="AP2" s="1"/>
      <c r="AQ2" s="1"/>
      <c r="AR2" s="1"/>
      <c r="AS2" s="1"/>
      <c r="AT2" s="1"/>
      <c r="AU2" s="1"/>
      <c r="AV2" s="1"/>
      <c r="AW2" s="1"/>
      <c r="AX2" s="1"/>
      <c r="AY2" s="1"/>
      <c r="AZ2" s="1">
        <v>600</v>
      </c>
      <c r="BA2" s="1"/>
      <c r="BB2" s="1"/>
      <c r="BC2" s="1"/>
      <c r="BD2" s="1"/>
      <c r="BE2" s="1"/>
      <c r="BF2" s="1"/>
      <c r="BG2" s="1"/>
      <c r="BH2" s="1"/>
      <c r="BI2" s="1"/>
      <c r="BJ2" s="1"/>
      <c r="BK2" s="1"/>
      <c r="BL2" s="1"/>
      <c r="BM2" s="1"/>
      <c r="BN2" s="1"/>
      <c r="BO2" s="1"/>
      <c r="BP2" s="1"/>
      <c r="BQ2" s="1"/>
      <c r="BR2" s="1"/>
      <c r="BS2" s="1"/>
      <c r="BT2" s="1"/>
      <c r="BU2" s="1"/>
      <c r="BV2" s="2"/>
      <c r="BW2" s="2"/>
      <c r="BX2" s="1"/>
      <c r="BY2" s="1"/>
      <c r="BZ2" s="1">
        <v>90</v>
      </c>
      <c r="CA2" s="1"/>
      <c r="CB2" s="1"/>
      <c r="CC2" s="1"/>
      <c r="CD2" s="1"/>
      <c r="CE2" s="1"/>
      <c r="CF2" s="1"/>
      <c r="CG2" s="1"/>
      <c r="CH2" s="1"/>
      <c r="CI2" s="1"/>
      <c r="CJ2" s="1"/>
      <c r="CK2" s="1"/>
      <c r="CL2" s="1"/>
      <c r="CM2" s="1"/>
      <c r="CN2" s="1"/>
      <c r="CO2" s="1"/>
      <c r="CP2" s="1"/>
      <c r="CQ2" s="1"/>
      <c r="CR2" s="1"/>
      <c r="CS2" s="1"/>
      <c r="CT2" s="1"/>
      <c r="CU2" s="1"/>
      <c r="CV2" s="1"/>
      <c r="CW2" s="1"/>
      <c r="CX2" s="2"/>
      <c r="CY2" s="2"/>
      <c r="CZ2" s="2"/>
      <c r="DA2" s="2"/>
      <c r="DB2" s="2"/>
      <c r="DC2" s="2"/>
      <c r="DD2" s="2"/>
      <c r="DE2" s="2"/>
      <c r="DF2" s="2"/>
      <c r="DG2" s="2"/>
      <c r="DH2" s="2"/>
      <c r="DI2" s="2"/>
      <c r="DJ2" s="2"/>
      <c r="DK2" s="2"/>
      <c r="DL2" s="2"/>
      <c r="DM2" s="2"/>
      <c r="DN2" s="2"/>
      <c r="DO2" s="2"/>
      <c r="DP2" s="2"/>
      <c r="DQ2" s="2"/>
      <c r="DR2" s="2"/>
      <c r="DS2" s="1"/>
      <c r="DT2" s="1"/>
      <c r="DU2" s="1"/>
      <c r="DV2" s="1"/>
      <c r="DW2" s="1"/>
      <c r="DX2" s="1"/>
      <c r="DY2" s="1"/>
      <c r="DZ2" s="1"/>
      <c r="EA2" s="1"/>
      <c r="EB2" s="1"/>
      <c r="EC2" s="2"/>
      <c r="ED2" s="2"/>
    </row>
    <row r="3" spans="1:134" x14ac:dyDescent="0.25">
      <c r="A3" s="1" t="s">
        <v>232</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v>30</v>
      </c>
      <c r="AT3" s="1"/>
      <c r="AU3" s="1"/>
      <c r="AV3" s="1"/>
      <c r="AW3" s="1"/>
      <c r="AX3" s="1"/>
      <c r="AY3" s="1"/>
      <c r="AZ3" s="1"/>
      <c r="BA3" s="1"/>
      <c r="BB3" s="1"/>
      <c r="BC3" s="1"/>
      <c r="BD3" s="1"/>
      <c r="BE3" s="1"/>
      <c r="BF3" s="1"/>
      <c r="BG3" s="1"/>
      <c r="BH3" s="1"/>
      <c r="BI3" s="1"/>
      <c r="BJ3" s="1"/>
      <c r="BK3" s="1"/>
      <c r="BL3" s="1"/>
      <c r="BM3" s="1"/>
      <c r="BN3" s="1"/>
      <c r="BO3" s="1"/>
      <c r="BP3" s="1"/>
      <c r="BQ3" s="1"/>
      <c r="BR3" s="1"/>
      <c r="BS3" s="1"/>
      <c r="BT3" s="1">
        <v>30</v>
      </c>
      <c r="BU3" s="1"/>
      <c r="BV3" s="2"/>
      <c r="BW3" s="2"/>
      <c r="BX3" s="1"/>
      <c r="BY3" s="1"/>
      <c r="BZ3" s="1"/>
      <c r="CA3" s="1"/>
      <c r="CB3" s="1"/>
      <c r="CC3" s="1"/>
      <c r="CD3" s="1"/>
      <c r="CE3" s="1"/>
      <c r="CF3" s="1"/>
      <c r="CG3" s="1"/>
      <c r="CH3" s="1"/>
      <c r="CI3" s="1"/>
      <c r="CJ3" s="1"/>
      <c r="CK3" s="1"/>
      <c r="CL3" s="1"/>
      <c r="CM3" s="1"/>
      <c r="CN3" s="1"/>
      <c r="CO3" s="1"/>
      <c r="CP3" s="1"/>
      <c r="CQ3" s="1"/>
      <c r="CR3" s="1"/>
      <c r="CS3" s="1"/>
      <c r="CT3" s="1"/>
      <c r="CU3" s="1"/>
      <c r="CV3" s="1"/>
      <c r="CW3" s="1"/>
      <c r="CX3" s="2"/>
      <c r="CY3" s="2"/>
      <c r="CZ3" s="2"/>
      <c r="DA3" s="2"/>
      <c r="DB3" s="2"/>
      <c r="DC3" s="2"/>
      <c r="DD3" s="2"/>
      <c r="DE3" s="2"/>
      <c r="DF3" s="2"/>
      <c r="DG3" s="2"/>
      <c r="DH3" s="2"/>
      <c r="DI3" s="2"/>
      <c r="DJ3" s="2"/>
      <c r="DK3" s="2"/>
      <c r="DL3" s="2"/>
      <c r="DM3" s="2"/>
      <c r="DN3" s="2"/>
      <c r="DO3" s="2"/>
      <c r="DP3" s="2"/>
      <c r="DQ3" s="2"/>
      <c r="DR3" s="2"/>
      <c r="DS3" s="1"/>
      <c r="DT3" s="1"/>
      <c r="DU3" s="1"/>
      <c r="DV3" s="1"/>
      <c r="DW3" s="1"/>
      <c r="DX3" s="1"/>
      <c r="DY3" s="1"/>
      <c r="DZ3" s="1"/>
      <c r="EA3" s="1"/>
      <c r="EB3" s="1"/>
      <c r="EC3" s="2">
        <v>1</v>
      </c>
      <c r="ED3" s="2"/>
    </row>
    <row r="4" spans="1:134" x14ac:dyDescent="0.25">
      <c r="A4" s="1" t="s">
        <v>242</v>
      </c>
      <c r="B4" s="1" t="s">
        <v>303</v>
      </c>
      <c r="C4" s="2" t="s">
        <v>63</v>
      </c>
      <c r="D4" s="2">
        <v>400</v>
      </c>
      <c r="E4" s="2">
        <v>160</v>
      </c>
      <c r="F4" s="2" t="s">
        <v>59</v>
      </c>
      <c r="G4" s="2">
        <v>240</v>
      </c>
      <c r="H4" s="2">
        <f t="shared" si="0"/>
        <v>240</v>
      </c>
      <c r="I4" s="1"/>
      <c r="J4" s="1"/>
      <c r="K4" s="1"/>
      <c r="L4" s="1"/>
      <c r="M4" s="1"/>
      <c r="N4" s="1"/>
      <c r="O4" s="1"/>
      <c r="P4" s="1"/>
      <c r="Q4" s="1"/>
      <c r="R4" s="1"/>
      <c r="S4" s="1"/>
      <c r="T4" s="1"/>
      <c r="U4" s="1"/>
      <c r="V4" s="1"/>
      <c r="W4" s="1">
        <v>90</v>
      </c>
      <c r="X4" s="1"/>
      <c r="Y4" s="1"/>
      <c r="Z4" s="1"/>
      <c r="AA4" s="1"/>
      <c r="AB4" s="1"/>
      <c r="AC4" s="1"/>
      <c r="AD4" s="1"/>
      <c r="AE4" s="1"/>
      <c r="AF4" s="1"/>
      <c r="AG4" s="1"/>
      <c r="AH4" s="1"/>
      <c r="AI4" s="1"/>
      <c r="AJ4" s="1"/>
      <c r="AK4" s="1"/>
      <c r="AL4" s="1"/>
      <c r="AM4" s="1"/>
      <c r="AN4" s="1"/>
      <c r="AO4" s="1"/>
      <c r="AP4" s="1"/>
      <c r="AQ4" s="1"/>
      <c r="AR4" s="1"/>
      <c r="AS4" s="1"/>
      <c r="AT4" s="1"/>
      <c r="AU4" s="1"/>
      <c r="AV4" s="1"/>
      <c r="AW4" s="1"/>
      <c r="AX4" s="1"/>
      <c r="AY4" s="1">
        <v>15</v>
      </c>
      <c r="AZ4" s="1"/>
      <c r="BA4" s="1"/>
      <c r="BB4" s="1"/>
      <c r="BC4" s="1"/>
      <c r="BD4" s="1"/>
      <c r="BE4" s="1"/>
      <c r="BF4" s="1"/>
      <c r="BG4" s="1"/>
      <c r="BH4" s="1"/>
      <c r="BI4" s="1"/>
      <c r="BJ4" s="1"/>
      <c r="BK4" s="1"/>
      <c r="BL4" s="1">
        <v>90</v>
      </c>
      <c r="BM4" s="1"/>
      <c r="BN4" s="1"/>
      <c r="BO4" s="1"/>
      <c r="BP4" s="1"/>
      <c r="BQ4" s="1"/>
      <c r="BR4" s="1"/>
      <c r="BS4" s="1"/>
      <c r="BT4" s="1"/>
      <c r="BU4" s="1"/>
      <c r="BV4" s="2"/>
      <c r="BW4" s="2"/>
      <c r="BX4" s="1"/>
      <c r="BY4" s="1"/>
      <c r="BZ4" s="1"/>
      <c r="CA4" s="1"/>
      <c r="CB4" s="1"/>
      <c r="CC4" s="1"/>
      <c r="CD4" s="1"/>
      <c r="CE4" s="1"/>
      <c r="CF4" s="1"/>
      <c r="CG4" s="1"/>
      <c r="CH4" s="1"/>
      <c r="CI4" s="1"/>
      <c r="CJ4" s="1"/>
      <c r="CK4" s="1"/>
      <c r="CL4" s="1"/>
      <c r="CM4" s="1"/>
      <c r="CN4" s="1"/>
      <c r="CO4" s="1">
        <v>45</v>
      </c>
      <c r="CP4" s="1"/>
      <c r="CQ4" s="1"/>
      <c r="CR4" s="1"/>
      <c r="CS4" s="1"/>
      <c r="CT4" s="1"/>
      <c r="CU4" s="1"/>
      <c r="CV4" s="1"/>
      <c r="CW4" s="1"/>
      <c r="CX4" s="2"/>
      <c r="CY4" s="2"/>
      <c r="CZ4" s="2"/>
      <c r="DA4" s="2"/>
      <c r="DB4" s="2"/>
      <c r="DC4" s="2"/>
      <c r="DD4" s="2"/>
      <c r="DE4" s="2"/>
      <c r="DF4" s="2"/>
      <c r="DG4" s="2"/>
      <c r="DH4" s="2"/>
      <c r="DI4" s="2"/>
      <c r="DJ4" s="2"/>
      <c r="DK4" s="2"/>
      <c r="DL4" s="2"/>
      <c r="DM4" s="2"/>
      <c r="DN4" s="2"/>
      <c r="DO4" s="2"/>
      <c r="DP4" s="2"/>
      <c r="DQ4" s="2"/>
      <c r="DR4" s="2"/>
      <c r="DS4" s="1"/>
      <c r="DT4" s="1"/>
      <c r="DU4" s="1"/>
      <c r="DV4" s="1"/>
      <c r="DW4" s="1"/>
      <c r="DX4" s="1"/>
      <c r="DY4" s="1"/>
      <c r="DZ4" s="1"/>
      <c r="EA4" s="1"/>
      <c r="EB4" s="1"/>
      <c r="EC4" s="2"/>
      <c r="ED4" s="2"/>
    </row>
    <row r="5" spans="1:134" x14ac:dyDescent="0.25">
      <c r="A5" s="1" t="s">
        <v>233</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v>30</v>
      </c>
      <c r="AT5" s="1"/>
      <c r="AU5" s="1"/>
      <c r="AV5" s="1"/>
      <c r="AW5" s="1"/>
      <c r="AX5" s="1"/>
      <c r="AY5" s="1"/>
      <c r="AZ5" s="1"/>
      <c r="BA5" s="1"/>
      <c r="BB5" s="1"/>
      <c r="BC5" s="1"/>
      <c r="BD5" s="1"/>
      <c r="BE5" s="1"/>
      <c r="BF5" s="1"/>
      <c r="BG5" s="1"/>
      <c r="BH5" s="1"/>
      <c r="BI5" s="1"/>
      <c r="BJ5" s="1"/>
      <c r="BK5" s="1"/>
      <c r="BL5" s="1"/>
      <c r="BM5" s="1"/>
      <c r="BN5" s="1"/>
      <c r="BO5" s="1"/>
      <c r="BP5" s="1"/>
      <c r="BQ5" s="1"/>
      <c r="BR5" s="1"/>
      <c r="BS5" s="1"/>
      <c r="BT5" s="1">
        <v>30</v>
      </c>
      <c r="BU5" s="1"/>
      <c r="BV5" s="2"/>
      <c r="BW5" s="2"/>
      <c r="BX5" s="1"/>
      <c r="BY5" s="1"/>
      <c r="BZ5" s="1"/>
      <c r="CA5" s="1"/>
      <c r="CB5" s="1"/>
      <c r="CC5" s="1"/>
      <c r="CD5" s="1"/>
      <c r="CE5" s="1"/>
      <c r="CF5" s="1"/>
      <c r="CG5" s="1"/>
      <c r="CH5" s="1"/>
      <c r="CI5" s="1"/>
      <c r="CJ5" s="1"/>
      <c r="CK5" s="1"/>
      <c r="CL5" s="1"/>
      <c r="CM5" s="1"/>
      <c r="CN5" s="1"/>
      <c r="CO5" s="1"/>
      <c r="CP5" s="1"/>
      <c r="CQ5" s="1"/>
      <c r="CR5" s="1"/>
      <c r="CS5" s="1"/>
      <c r="CT5" s="1"/>
      <c r="CU5" s="1"/>
      <c r="CV5" s="1"/>
      <c r="CW5" s="1"/>
      <c r="CX5" s="2"/>
      <c r="CY5" s="2"/>
      <c r="CZ5" s="2"/>
      <c r="DA5" s="2"/>
      <c r="DB5" s="2"/>
      <c r="DC5" s="2"/>
      <c r="DD5" s="2"/>
      <c r="DE5" s="2"/>
      <c r="DF5" s="2"/>
      <c r="DG5" s="2"/>
      <c r="DH5" s="2"/>
      <c r="DI5" s="2"/>
      <c r="DJ5" s="2"/>
      <c r="DK5" s="2"/>
      <c r="DL5" s="2"/>
      <c r="DM5" s="2"/>
      <c r="DN5" s="2"/>
      <c r="DO5" s="2"/>
      <c r="DP5" s="2"/>
      <c r="DQ5" s="2"/>
      <c r="DR5" s="2"/>
      <c r="DS5" s="1"/>
      <c r="DT5" s="1"/>
      <c r="DU5" s="1"/>
      <c r="DV5" s="1"/>
      <c r="DW5" s="1"/>
      <c r="DX5" s="1"/>
      <c r="DY5" s="1"/>
      <c r="DZ5" s="1"/>
      <c r="EA5" s="1"/>
      <c r="EB5" s="1"/>
      <c r="EC5" s="2"/>
      <c r="ED5" s="2">
        <v>1</v>
      </c>
    </row>
    <row r="6" spans="1:134"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v>30</v>
      </c>
      <c r="AO6" s="2"/>
      <c r="AP6" s="2"/>
      <c r="AQ6" s="2"/>
      <c r="AR6" s="2"/>
      <c r="AS6" s="2"/>
      <c r="AT6" s="2"/>
      <c r="AU6" s="2"/>
      <c r="AV6" s="2"/>
      <c r="AW6" s="2"/>
      <c r="AX6" s="2"/>
      <c r="AY6" s="2">
        <v>30</v>
      </c>
      <c r="AZ6" s="2"/>
      <c r="BA6" s="2"/>
      <c r="BB6" s="2"/>
      <c r="BC6" s="2"/>
      <c r="BD6" s="2"/>
      <c r="BE6" s="2"/>
      <c r="BF6" s="2"/>
      <c r="BG6" s="2"/>
      <c r="BH6" s="2"/>
      <c r="BI6" s="2"/>
      <c r="BJ6" s="2"/>
      <c r="BK6" s="2"/>
      <c r="BL6" s="2"/>
      <c r="BM6" s="2"/>
      <c r="BN6" s="2"/>
      <c r="BO6" s="2"/>
      <c r="BP6" s="2"/>
      <c r="BQ6" s="2"/>
      <c r="BR6" s="2"/>
      <c r="BS6" s="2"/>
      <c r="BT6" s="2"/>
      <c r="BU6" s="2"/>
      <c r="BV6" s="2"/>
      <c r="BW6" s="2"/>
      <c r="BX6" s="2"/>
      <c r="BY6" s="2"/>
      <c r="BZ6" s="2">
        <v>15</v>
      </c>
      <c r="CA6" s="2"/>
      <c r="CB6" s="2"/>
      <c r="CC6" s="2"/>
      <c r="CD6" s="2"/>
      <c r="CE6" s="2"/>
      <c r="CF6" s="2"/>
      <c r="CG6" s="2"/>
      <c r="CH6" s="2"/>
      <c r="CI6" s="2"/>
      <c r="CJ6" s="2"/>
      <c r="CK6" s="2"/>
      <c r="CL6" s="2"/>
      <c r="CM6" s="2"/>
      <c r="CN6" s="2"/>
      <c r="CO6" s="2"/>
      <c r="CP6" s="2"/>
      <c r="CQ6" s="2"/>
      <c r="CR6" s="2">
        <v>15</v>
      </c>
      <c r="CS6" s="2"/>
      <c r="CT6" s="2"/>
      <c r="CU6" s="2"/>
      <c r="CV6" s="2"/>
      <c r="CW6" s="2"/>
      <c r="CX6" s="2"/>
      <c r="CY6" s="2"/>
      <c r="CZ6" s="2"/>
      <c r="DA6" s="2"/>
      <c r="DB6" s="2"/>
      <c r="DC6" s="2"/>
      <c r="DD6" s="2"/>
      <c r="DE6" s="2"/>
      <c r="DF6" s="2"/>
      <c r="DG6" s="2"/>
      <c r="DH6" s="2"/>
      <c r="DI6" s="2"/>
      <c r="DJ6" s="2"/>
      <c r="DK6" s="2"/>
      <c r="DL6" s="2"/>
      <c r="DM6" s="2"/>
      <c r="DN6" s="2"/>
      <c r="DO6" s="2"/>
      <c r="DP6" s="2"/>
      <c r="DQ6" s="2"/>
      <c r="DR6" s="2"/>
      <c r="DS6" s="2">
        <v>1</v>
      </c>
      <c r="DT6" s="2"/>
      <c r="DU6" s="2"/>
      <c r="DV6" s="2"/>
      <c r="DW6" s="2"/>
      <c r="DX6" s="2"/>
      <c r="DY6" s="2"/>
      <c r="DZ6" s="2"/>
      <c r="EA6" s="2"/>
      <c r="EB6" s="2"/>
      <c r="EC6" s="2"/>
      <c r="ED6" s="2"/>
    </row>
    <row r="7" spans="1:134"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v>135</v>
      </c>
      <c r="Y7" s="2"/>
      <c r="Z7" s="2"/>
      <c r="AA7" s="2"/>
      <c r="AB7" s="2"/>
      <c r="AC7" s="2"/>
      <c r="AD7" s="2"/>
      <c r="AE7" s="2"/>
      <c r="AF7" s="2"/>
      <c r="AG7" s="2"/>
      <c r="AH7" s="2"/>
      <c r="AI7" s="2"/>
      <c r="AJ7" s="2"/>
      <c r="AK7" s="2"/>
      <c r="AL7" s="2"/>
      <c r="AM7" s="2"/>
      <c r="AN7" s="2">
        <v>90</v>
      </c>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v>45</v>
      </c>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row>
    <row r="8" spans="1:134"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v>30</v>
      </c>
      <c r="AB8" s="2"/>
      <c r="AC8" s="2"/>
      <c r="AD8" s="2"/>
      <c r="AE8" s="2"/>
      <c r="AF8" s="2">
        <v>30</v>
      </c>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v>30</v>
      </c>
      <c r="CU8" s="2"/>
      <c r="CV8" s="2"/>
      <c r="CW8" s="2"/>
      <c r="CX8" s="2"/>
      <c r="CY8" s="2"/>
      <c r="CZ8" s="2"/>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row>
    <row r="9" spans="1:134" x14ac:dyDescent="0.25">
      <c r="A9" s="1" t="s">
        <v>193</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v>100</v>
      </c>
      <c r="Y9" s="2"/>
      <c r="Z9" s="2"/>
      <c r="AA9" s="2"/>
      <c r="AB9" s="2"/>
      <c r="AC9" s="2"/>
      <c r="AD9" s="2"/>
      <c r="AE9" s="2"/>
      <c r="AF9" s="2"/>
      <c r="AG9" s="2"/>
      <c r="AH9" s="2"/>
      <c r="AI9" s="2"/>
      <c r="AJ9" s="2"/>
      <c r="AK9" s="2"/>
      <c r="AL9" s="2"/>
      <c r="AM9" s="2"/>
      <c r="AN9" s="2"/>
      <c r="AO9" s="2"/>
      <c r="AP9" s="2"/>
      <c r="AQ9" s="2"/>
      <c r="AR9" s="2"/>
      <c r="AS9" s="2"/>
      <c r="AT9" s="2"/>
      <c r="AU9" s="2"/>
      <c r="AV9" s="2"/>
      <c r="AW9" s="2"/>
      <c r="AX9" s="2"/>
      <c r="AY9" s="2">
        <v>30</v>
      </c>
      <c r="AZ9" s="2"/>
      <c r="BA9" s="2">
        <v>60</v>
      </c>
      <c r="BB9" s="2"/>
      <c r="BC9" s="2"/>
      <c r="BD9" s="2"/>
      <c r="BE9" s="2"/>
      <c r="BF9" s="2"/>
      <c r="BG9" s="2"/>
      <c r="BH9" s="2"/>
      <c r="BI9" s="2"/>
      <c r="BJ9" s="2"/>
      <c r="BK9" s="2"/>
      <c r="BL9" s="2"/>
      <c r="BM9" s="2"/>
      <c r="BN9" s="2"/>
      <c r="BO9" s="2"/>
      <c r="BP9" s="2"/>
      <c r="BQ9" s="2"/>
      <c r="BR9" s="2"/>
      <c r="BS9" s="2"/>
      <c r="BT9" s="2"/>
      <c r="BU9" s="2"/>
      <c r="BV9" s="2"/>
      <c r="BW9" s="2"/>
      <c r="BX9" s="2"/>
      <c r="BY9" s="2"/>
      <c r="BZ9" s="2"/>
      <c r="CA9" s="2"/>
      <c r="CB9" s="2"/>
      <c r="CC9" s="2"/>
      <c r="CD9" s="2">
        <v>30</v>
      </c>
      <c r="CE9" s="2"/>
      <c r="CF9" s="2"/>
      <c r="CG9" s="2"/>
      <c r="CH9" s="2"/>
      <c r="CI9" s="2"/>
      <c r="CJ9" s="2"/>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row>
    <row r="10" spans="1:134" x14ac:dyDescent="0.25">
      <c r="A10" s="1" t="s">
        <v>585</v>
      </c>
      <c r="B10" s="1" t="s">
        <v>51</v>
      </c>
      <c r="C10" s="2" t="s">
        <v>747</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v>30</v>
      </c>
      <c r="AZ10" s="1"/>
      <c r="BA10" s="1"/>
      <c r="BB10" s="1"/>
      <c r="BC10" s="1"/>
      <c r="BD10" s="1"/>
      <c r="BE10" s="1"/>
      <c r="BF10" s="1"/>
      <c r="BG10" s="1"/>
      <c r="BH10" s="1"/>
      <c r="BI10" s="1"/>
      <c r="BJ10" s="1"/>
      <c r="BK10" s="1"/>
      <c r="BL10" s="1"/>
      <c r="BM10" s="1"/>
      <c r="BN10" s="1"/>
      <c r="BO10" s="1"/>
      <c r="BP10" s="1"/>
      <c r="BQ10" s="1"/>
      <c r="BR10" s="1"/>
      <c r="BS10" s="1"/>
      <c r="BT10" s="1"/>
      <c r="BU10" s="1"/>
      <c r="BV10" s="2"/>
      <c r="BW10" s="2">
        <v>15</v>
      </c>
      <c r="BX10" s="1"/>
      <c r="BY10" s="1"/>
      <c r="BZ10" s="1">
        <v>30</v>
      </c>
      <c r="CA10" s="1"/>
      <c r="CB10" s="1"/>
      <c r="CC10" s="1"/>
      <c r="CD10" s="1"/>
      <c r="CE10" s="1"/>
      <c r="CF10" s="1"/>
      <c r="CG10" s="1"/>
      <c r="CH10" s="1"/>
      <c r="CI10" s="1"/>
      <c r="CJ10" s="1"/>
      <c r="CK10" s="1"/>
      <c r="CL10" s="1"/>
      <c r="CM10" s="1"/>
      <c r="CN10" s="1"/>
      <c r="CO10" s="1"/>
      <c r="CP10" s="1"/>
      <c r="CQ10" s="1"/>
      <c r="CR10" s="1"/>
      <c r="CS10" s="1"/>
      <c r="CT10" s="1"/>
      <c r="CU10" s="1"/>
      <c r="CV10" s="1"/>
      <c r="CW10" s="1"/>
      <c r="CX10" s="2"/>
      <c r="CY10" s="2"/>
      <c r="CZ10" s="2"/>
      <c r="DA10" s="2">
        <v>5</v>
      </c>
      <c r="DB10" s="2"/>
      <c r="DC10" s="2"/>
      <c r="DD10" s="2"/>
      <c r="DE10" s="2"/>
      <c r="DF10" s="2"/>
      <c r="DG10" s="2"/>
      <c r="DH10" s="2"/>
      <c r="DI10" s="2"/>
      <c r="DJ10" s="2"/>
      <c r="DK10" s="2"/>
      <c r="DL10" s="2"/>
      <c r="DM10" s="2"/>
      <c r="DN10" s="2"/>
      <c r="DO10" s="2"/>
      <c r="DP10" s="2"/>
      <c r="DQ10" s="2"/>
      <c r="DR10" s="2"/>
      <c r="DS10" s="1"/>
      <c r="DT10" s="1"/>
      <c r="DU10" s="1"/>
      <c r="DV10" s="1"/>
      <c r="DW10" s="1"/>
      <c r="DX10" s="1"/>
      <c r="DY10" s="1"/>
      <c r="DZ10" s="1"/>
      <c r="EA10" s="1"/>
      <c r="EB10" s="1"/>
      <c r="EC10" s="2"/>
      <c r="ED10" s="2"/>
    </row>
    <row r="11" spans="1:134"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v>135</v>
      </c>
      <c r="Y11" s="2"/>
      <c r="Z11" s="2"/>
      <c r="AA11" s="2"/>
      <c r="AB11" s="2"/>
      <c r="AC11" s="2"/>
      <c r="AD11" s="2">
        <v>90</v>
      </c>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v>45</v>
      </c>
      <c r="CU11" s="2"/>
      <c r="CV11" s="2"/>
      <c r="CW11" s="2"/>
      <c r="CX11" s="2"/>
      <c r="CY11" s="2"/>
      <c r="CZ11" s="2"/>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row>
    <row r="12" spans="1:134" x14ac:dyDescent="0.25">
      <c r="A12" s="1" t="s">
        <v>563</v>
      </c>
      <c r="B12" s="1" t="s">
        <v>55</v>
      </c>
      <c r="C12" s="2" t="s">
        <v>747</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v>30</v>
      </c>
      <c r="AZ12" s="2"/>
      <c r="BA12" s="2"/>
      <c r="BB12" s="2"/>
      <c r="BC12" s="2"/>
      <c r="BD12" s="2"/>
      <c r="BE12" s="2"/>
      <c r="BF12" s="2"/>
      <c r="BG12" s="2"/>
      <c r="BH12" s="2"/>
      <c r="BI12" s="2"/>
      <c r="BJ12" s="2"/>
      <c r="BK12" s="2"/>
      <c r="BL12" s="2"/>
      <c r="BM12" s="2"/>
      <c r="BN12" s="2"/>
      <c r="BO12" s="2"/>
      <c r="BP12" s="2"/>
      <c r="BQ12" s="2"/>
      <c r="BR12" s="2"/>
      <c r="BS12" s="2"/>
      <c r="BT12" s="2"/>
      <c r="BU12" s="2"/>
      <c r="BV12" s="2"/>
      <c r="BW12" s="2"/>
      <c r="BX12" s="2"/>
      <c r="BY12" s="2"/>
      <c r="BZ12" s="2">
        <v>30</v>
      </c>
      <c r="CA12" s="2"/>
      <c r="CB12" s="2"/>
      <c r="CC12" s="2"/>
      <c r="CD12" s="2"/>
      <c r="CE12" s="2"/>
      <c r="CF12" s="2"/>
      <c r="CG12" s="2"/>
      <c r="CH12" s="2"/>
      <c r="CI12" s="2"/>
      <c r="CJ12" s="2"/>
      <c r="CK12" s="2"/>
      <c r="CL12" s="2"/>
      <c r="CM12" s="2"/>
      <c r="CN12" s="2"/>
      <c r="CO12" s="2"/>
      <c r="CP12" s="2"/>
      <c r="CQ12" s="2"/>
      <c r="CR12" s="2">
        <v>15</v>
      </c>
      <c r="CS12" s="2"/>
      <c r="CT12" s="2"/>
      <c r="CU12" s="2"/>
      <c r="CV12" s="2"/>
      <c r="CW12" s="2"/>
      <c r="CX12" s="2"/>
      <c r="CY12" s="2"/>
      <c r="CZ12" s="2"/>
      <c r="DA12" s="2"/>
      <c r="DB12" s="2"/>
      <c r="DC12" s="2"/>
      <c r="DD12" s="2"/>
      <c r="DE12" s="2"/>
      <c r="DF12" s="2"/>
      <c r="DG12" s="2"/>
      <c r="DH12" s="2">
        <v>6</v>
      </c>
      <c r="DI12" s="2"/>
      <c r="DJ12" s="2"/>
      <c r="DK12" s="2"/>
      <c r="DL12" s="2"/>
      <c r="DM12" s="2"/>
      <c r="DN12" s="2"/>
      <c r="DO12" s="2"/>
      <c r="DP12" s="2"/>
      <c r="DQ12" s="2"/>
      <c r="DR12" s="2"/>
      <c r="DS12" s="2">
        <v>1</v>
      </c>
      <c r="DT12" s="2"/>
      <c r="DU12" s="2"/>
      <c r="DV12" s="2"/>
      <c r="DW12" s="2"/>
      <c r="DX12" s="2"/>
      <c r="DY12" s="2"/>
      <c r="DZ12" s="2"/>
      <c r="EA12" s="2"/>
      <c r="EB12" s="2"/>
      <c r="EC12" s="2"/>
      <c r="ED12" s="2"/>
    </row>
    <row r="13" spans="1:134" x14ac:dyDescent="0.25">
      <c r="A13" s="1" t="s">
        <v>217</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v>90</v>
      </c>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v>60</v>
      </c>
      <c r="BL13" s="1"/>
      <c r="BM13" s="1"/>
      <c r="BN13" s="1"/>
      <c r="BO13" s="1"/>
      <c r="BP13" s="1"/>
      <c r="BQ13" s="1"/>
      <c r="BR13" s="1"/>
      <c r="BS13" s="1"/>
      <c r="BT13" s="1"/>
      <c r="BU13" s="1"/>
      <c r="BV13" s="2"/>
      <c r="BW13" s="2"/>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2"/>
      <c r="CY13" s="2"/>
      <c r="CZ13" s="2"/>
      <c r="DA13" s="2"/>
      <c r="DB13" s="2"/>
      <c r="DC13" s="2"/>
      <c r="DD13" s="2"/>
      <c r="DE13" s="2"/>
      <c r="DF13" s="2"/>
      <c r="DG13" s="2"/>
      <c r="DH13" s="2"/>
      <c r="DI13" s="2"/>
      <c r="DJ13" s="2"/>
      <c r="DK13" s="2"/>
      <c r="DL13" s="2"/>
      <c r="DM13" s="2"/>
      <c r="DN13" s="2"/>
      <c r="DO13" s="2"/>
      <c r="DP13" s="2"/>
      <c r="DQ13" s="2"/>
      <c r="DR13" s="2"/>
      <c r="DS13" s="1"/>
      <c r="DT13" s="1"/>
      <c r="DU13" s="1"/>
      <c r="DV13" s="1"/>
      <c r="DW13" s="1"/>
      <c r="DX13" s="1"/>
      <c r="DY13" s="1"/>
      <c r="DZ13" s="1"/>
      <c r="EA13" s="1"/>
      <c r="EB13" s="1"/>
      <c r="EC13" s="2"/>
      <c r="ED13" s="2"/>
    </row>
    <row r="14" spans="1:134" x14ac:dyDescent="0.25">
      <c r="A14" s="1" t="s">
        <v>183</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v>30</v>
      </c>
      <c r="AZ14" s="1"/>
      <c r="BA14" s="1"/>
      <c r="BB14" s="1"/>
      <c r="BC14" s="1"/>
      <c r="BD14" s="1"/>
      <c r="BE14" s="1"/>
      <c r="BF14" s="1"/>
      <c r="BG14" s="1"/>
      <c r="BH14" s="1"/>
      <c r="BI14" s="1"/>
      <c r="BJ14" s="1"/>
      <c r="BK14" s="1"/>
      <c r="BL14" s="1"/>
      <c r="BM14" s="1">
        <v>60</v>
      </c>
      <c r="BN14" s="1"/>
      <c r="BO14" s="1"/>
      <c r="BP14" s="1"/>
      <c r="BQ14" s="1"/>
      <c r="BR14" s="1"/>
      <c r="BS14" s="1"/>
      <c r="BT14" s="1"/>
      <c r="BU14" s="1"/>
      <c r="BV14" s="2"/>
      <c r="BW14" s="2"/>
      <c r="BX14" s="1"/>
      <c r="BY14" s="1"/>
      <c r="BZ14" s="1"/>
      <c r="CA14" s="1"/>
      <c r="CB14" s="1">
        <v>20</v>
      </c>
      <c r="CC14" s="1"/>
      <c r="CD14" s="1"/>
      <c r="CE14" s="1"/>
      <c r="CF14" s="1"/>
      <c r="CG14" s="1"/>
      <c r="CH14" s="1"/>
      <c r="CI14" s="1"/>
      <c r="CJ14" s="1"/>
      <c r="CK14" s="1"/>
      <c r="CL14" s="1"/>
      <c r="CM14" s="1"/>
      <c r="CN14" s="1"/>
      <c r="CO14" s="1"/>
      <c r="CP14" s="1"/>
      <c r="CQ14" s="1"/>
      <c r="CR14" s="1"/>
      <c r="CS14" s="1"/>
      <c r="CT14" s="1">
        <v>30</v>
      </c>
      <c r="CU14" s="1"/>
      <c r="CV14" s="1"/>
      <c r="CW14" s="1"/>
      <c r="CX14" s="2"/>
      <c r="CY14" s="2"/>
      <c r="CZ14" s="2"/>
      <c r="DA14" s="2"/>
      <c r="DB14" s="2"/>
      <c r="DC14" s="2"/>
      <c r="DD14" s="2"/>
      <c r="DE14" s="2"/>
      <c r="DF14" s="2"/>
      <c r="DG14" s="2"/>
      <c r="DH14" s="2"/>
      <c r="DI14" s="2"/>
      <c r="DJ14" s="2"/>
      <c r="DK14" s="2"/>
      <c r="DL14" s="2"/>
      <c r="DM14" s="2"/>
      <c r="DN14" s="2"/>
      <c r="DO14" s="2"/>
      <c r="DP14" s="2"/>
      <c r="DQ14" s="2"/>
      <c r="DR14" s="2"/>
      <c r="DS14" s="1"/>
      <c r="DT14" s="1"/>
      <c r="DU14" s="1"/>
      <c r="DV14" s="1"/>
      <c r="DW14" s="1"/>
      <c r="DX14" s="1"/>
      <c r="DY14" s="1"/>
      <c r="DZ14" s="1"/>
      <c r="EA14" s="1"/>
      <c r="EB14" s="1"/>
      <c r="EC14" s="2"/>
      <c r="ED14" s="2"/>
    </row>
    <row r="15" spans="1:134" x14ac:dyDescent="0.25">
      <c r="A15" s="1" t="s">
        <v>234</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v>150</v>
      </c>
      <c r="AF15" s="1"/>
      <c r="AG15" s="1"/>
      <c r="AH15" s="1"/>
      <c r="AI15" s="1"/>
      <c r="AJ15" s="1"/>
      <c r="AK15" s="1"/>
      <c r="AL15" s="1"/>
      <c r="AM15" s="1"/>
      <c r="AN15" s="1"/>
      <c r="AO15" s="1"/>
      <c r="AP15" s="1"/>
      <c r="AQ15" s="1"/>
      <c r="AR15" s="1"/>
      <c r="AS15" s="1">
        <v>50</v>
      </c>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2"/>
      <c r="BW15" s="2"/>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2"/>
      <c r="CY15" s="2"/>
      <c r="CZ15" s="2"/>
      <c r="DA15" s="2"/>
      <c r="DB15" s="2"/>
      <c r="DC15" s="2"/>
      <c r="DD15" s="2"/>
      <c r="DE15" s="2"/>
      <c r="DF15" s="2"/>
      <c r="DG15" s="2"/>
      <c r="DH15" s="2"/>
      <c r="DI15" s="2"/>
      <c r="DJ15" s="2"/>
      <c r="DK15" s="2"/>
      <c r="DL15" s="2"/>
      <c r="DM15" s="2"/>
      <c r="DN15" s="2"/>
      <c r="DO15" s="2"/>
      <c r="DP15" s="2"/>
      <c r="DQ15" s="2">
        <v>1</v>
      </c>
      <c r="DR15" s="2"/>
      <c r="DS15" s="1"/>
      <c r="DT15" s="1"/>
      <c r="DU15" s="1"/>
      <c r="DV15" s="1"/>
      <c r="DW15" s="1"/>
      <c r="DX15" s="1"/>
      <c r="DY15" s="1"/>
      <c r="DZ15" s="1"/>
      <c r="EA15" s="1"/>
      <c r="EB15" s="1"/>
      <c r="EC15" s="2"/>
      <c r="ED15" s="2"/>
    </row>
    <row r="16" spans="1:134" x14ac:dyDescent="0.25">
      <c r="A16" s="13" t="s">
        <v>614</v>
      </c>
      <c r="B16" s="1" t="s">
        <v>284</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v>750</v>
      </c>
      <c r="X16" s="1"/>
      <c r="Y16" s="1"/>
      <c r="Z16" s="1">
        <v>100</v>
      </c>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2"/>
      <c r="BW16" s="2"/>
      <c r="BX16" s="1"/>
      <c r="BY16" s="1"/>
      <c r="BZ16" s="1"/>
      <c r="CA16" s="1"/>
      <c r="CB16" s="1"/>
      <c r="CC16" s="1"/>
      <c r="CD16" s="1"/>
      <c r="CE16" s="1"/>
      <c r="CF16" s="1"/>
      <c r="CG16" s="1"/>
      <c r="CH16" s="1"/>
      <c r="CI16" s="1"/>
      <c r="CJ16" s="1"/>
      <c r="CK16" s="1"/>
      <c r="CL16" s="1"/>
      <c r="CM16" s="1"/>
      <c r="CN16" s="1"/>
      <c r="CO16" s="1">
        <v>750</v>
      </c>
      <c r="CP16" s="1"/>
      <c r="CQ16" s="1"/>
      <c r="CR16" s="1"/>
      <c r="CS16" s="1"/>
      <c r="CT16" s="1"/>
      <c r="CU16" s="1"/>
      <c r="CV16" s="1"/>
      <c r="CW16" s="1"/>
      <c r="CX16" s="2"/>
      <c r="CY16" s="2"/>
      <c r="CZ16" s="2"/>
      <c r="DA16" s="2"/>
      <c r="DB16" s="2"/>
      <c r="DC16" s="2"/>
      <c r="DD16" s="2"/>
      <c r="DE16" s="2"/>
      <c r="DF16" s="2"/>
      <c r="DG16" s="2"/>
      <c r="DH16" s="2"/>
      <c r="DI16" s="2"/>
      <c r="DJ16" s="2"/>
      <c r="DK16" s="2"/>
      <c r="DL16" s="2"/>
      <c r="DM16" s="2"/>
      <c r="DN16" s="2"/>
      <c r="DO16" s="2"/>
      <c r="DP16" s="2"/>
      <c r="DQ16" s="2"/>
      <c r="DR16" s="2"/>
      <c r="DS16" s="1"/>
      <c r="DT16" s="1"/>
      <c r="DU16" s="1"/>
      <c r="DV16" s="1"/>
      <c r="DW16" s="1"/>
      <c r="DX16" s="1"/>
      <c r="DY16" s="1"/>
      <c r="DZ16" s="1"/>
      <c r="EA16" s="1"/>
      <c r="EB16" s="1"/>
      <c r="EC16" s="2"/>
      <c r="ED16" s="2"/>
    </row>
    <row r="17" spans="1:134"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v>15</v>
      </c>
      <c r="AZ17" s="2"/>
      <c r="BA17" s="2"/>
      <c r="BB17" s="2"/>
      <c r="BC17" s="2"/>
      <c r="BD17" s="2"/>
      <c r="BE17" s="2"/>
      <c r="BF17" s="2"/>
      <c r="BG17" s="2"/>
      <c r="BH17" s="2"/>
      <c r="BI17" s="2"/>
      <c r="BJ17" s="2"/>
      <c r="BK17" s="2"/>
      <c r="BL17" s="2"/>
      <c r="BM17" s="2"/>
      <c r="BN17" s="2"/>
      <c r="BO17" s="2">
        <v>120</v>
      </c>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v>1</v>
      </c>
      <c r="DU17" s="2">
        <v>1</v>
      </c>
      <c r="DV17" s="2"/>
      <c r="DW17" s="2"/>
      <c r="DX17" s="2"/>
      <c r="DY17" s="2"/>
      <c r="DZ17" s="2"/>
      <c r="EA17" s="2">
        <v>1</v>
      </c>
      <c r="EB17" s="2">
        <v>1</v>
      </c>
      <c r="EC17" s="2"/>
      <c r="ED17" s="2"/>
    </row>
    <row r="18" spans="1:134" x14ac:dyDescent="0.25">
      <c r="A18" s="1" t="s">
        <v>219</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v>15</v>
      </c>
      <c r="AZ18" s="2"/>
      <c r="BA18" s="2"/>
      <c r="BB18" s="2"/>
      <c r="BC18" s="2"/>
      <c r="BD18" s="2"/>
      <c r="BE18" s="2"/>
      <c r="BF18" s="2"/>
      <c r="BG18" s="2"/>
      <c r="BH18" s="2"/>
      <c r="BI18" s="2"/>
      <c r="BJ18" s="2"/>
      <c r="BK18" s="2"/>
      <c r="BL18" s="2"/>
      <c r="BM18" s="2"/>
      <c r="BN18" s="2"/>
      <c r="BO18" s="2">
        <v>120</v>
      </c>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v>45</v>
      </c>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v>1</v>
      </c>
      <c r="DU18" s="2">
        <v>1</v>
      </c>
      <c r="DV18" s="2"/>
      <c r="DW18" s="2"/>
      <c r="DX18" s="2"/>
      <c r="DY18" s="2"/>
      <c r="DZ18" s="2"/>
      <c r="EA18" s="2">
        <v>1</v>
      </c>
      <c r="EB18" s="2">
        <v>1</v>
      </c>
      <c r="EC18" s="2"/>
      <c r="ED18" s="2"/>
    </row>
    <row r="19" spans="1:134" x14ac:dyDescent="0.25">
      <c r="A19" s="1" t="s">
        <v>265</v>
      </c>
      <c r="B19" s="1" t="s">
        <v>157</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v>15</v>
      </c>
      <c r="AJ19" s="1"/>
      <c r="AK19" s="1"/>
      <c r="AL19" s="1"/>
      <c r="AM19" s="1"/>
      <c r="AN19" s="1"/>
      <c r="AO19" s="1"/>
      <c r="AP19" s="1"/>
      <c r="AQ19" s="1"/>
      <c r="AR19" s="1"/>
      <c r="AS19" s="1"/>
      <c r="AT19" s="1"/>
      <c r="AU19" s="1"/>
      <c r="AV19" s="1"/>
      <c r="AW19" s="1"/>
      <c r="AX19" s="1"/>
      <c r="AY19" s="1">
        <v>15</v>
      </c>
      <c r="AZ19" s="1"/>
      <c r="BA19" s="1"/>
      <c r="BB19" s="1"/>
      <c r="BC19" s="1">
        <v>90</v>
      </c>
      <c r="BD19" s="1"/>
      <c r="BE19" s="1"/>
      <c r="BF19" s="1"/>
      <c r="BG19" s="1"/>
      <c r="BH19" s="1"/>
      <c r="BI19" s="1"/>
      <c r="BJ19" s="1"/>
      <c r="BK19" s="1"/>
      <c r="BL19" s="1"/>
      <c r="BM19" s="1"/>
      <c r="BN19" s="1"/>
      <c r="BO19" s="1"/>
      <c r="BP19" s="1"/>
      <c r="BQ19" s="1"/>
      <c r="BR19" s="1"/>
      <c r="BS19" s="1"/>
      <c r="BT19" s="1"/>
      <c r="BU19" s="1"/>
      <c r="BV19" s="2"/>
      <c r="BW19" s="2"/>
      <c r="BX19" s="1"/>
      <c r="BY19" s="1"/>
      <c r="BZ19" s="1">
        <v>30</v>
      </c>
      <c r="CA19" s="1"/>
      <c r="CB19" s="1"/>
      <c r="CC19" s="1"/>
      <c r="CD19" s="1"/>
      <c r="CE19" s="1"/>
      <c r="CF19" s="1"/>
      <c r="CG19" s="1"/>
      <c r="CH19" s="1"/>
      <c r="CI19" s="1"/>
      <c r="CJ19" s="1"/>
      <c r="CK19" s="1"/>
      <c r="CL19" s="1"/>
      <c r="CM19" s="1"/>
      <c r="CN19" s="1"/>
      <c r="CO19" s="1"/>
      <c r="CP19" s="1"/>
      <c r="CQ19" s="1"/>
      <c r="CR19" s="1"/>
      <c r="CS19" s="1"/>
      <c r="CT19" s="1"/>
      <c r="CU19" s="1"/>
      <c r="CV19" s="1"/>
      <c r="CW19" s="1"/>
      <c r="CX19" s="2"/>
      <c r="CY19" s="2"/>
      <c r="CZ19" s="2"/>
      <c r="DA19" s="2"/>
      <c r="DB19" s="2"/>
      <c r="DC19" s="2"/>
      <c r="DD19" s="2"/>
      <c r="DE19" s="2"/>
      <c r="DF19" s="2"/>
      <c r="DG19" s="2"/>
      <c r="DH19" s="2"/>
      <c r="DI19" s="2"/>
      <c r="DJ19" s="2"/>
      <c r="DK19" s="2"/>
      <c r="DL19" s="2"/>
      <c r="DM19" s="2"/>
      <c r="DN19" s="2"/>
      <c r="DO19" s="2"/>
      <c r="DP19" s="2"/>
      <c r="DQ19" s="2"/>
      <c r="DR19" s="2"/>
      <c r="DS19" s="1"/>
      <c r="DT19" s="1"/>
      <c r="DU19" s="1"/>
      <c r="DV19" s="1"/>
      <c r="DW19" s="1"/>
      <c r="DX19" s="1"/>
      <c r="DY19" s="1"/>
      <c r="DZ19" s="1"/>
      <c r="EA19" s="1"/>
      <c r="EB19" s="1"/>
      <c r="EC19" s="2"/>
      <c r="ED19" s="2"/>
    </row>
    <row r="20" spans="1:134" x14ac:dyDescent="0.25">
      <c r="A20" s="1" t="s">
        <v>449</v>
      </c>
      <c r="B20" s="1" t="s">
        <v>157</v>
      </c>
      <c r="C20" s="3" t="s">
        <v>69</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v>15</v>
      </c>
      <c r="AJ20" s="1"/>
      <c r="AK20" s="1"/>
      <c r="AL20" s="1"/>
      <c r="AM20" s="1"/>
      <c r="AN20" s="1"/>
      <c r="AO20" s="1"/>
      <c r="AP20" s="1"/>
      <c r="AQ20" s="1"/>
      <c r="AR20" s="1"/>
      <c r="AS20" s="1"/>
      <c r="AT20" s="1"/>
      <c r="AU20" s="1"/>
      <c r="AV20" s="1"/>
      <c r="AW20" s="1"/>
      <c r="AX20" s="1"/>
      <c r="AY20" s="1"/>
      <c r="AZ20" s="1"/>
      <c r="BA20" s="1"/>
      <c r="BB20" s="1"/>
      <c r="BC20" s="1">
        <v>60</v>
      </c>
      <c r="BD20" s="1"/>
      <c r="BE20" s="1"/>
      <c r="BF20" s="1"/>
      <c r="BG20" s="1"/>
      <c r="BH20" s="1"/>
      <c r="BI20" s="1"/>
      <c r="BJ20" s="1"/>
      <c r="BK20" s="1"/>
      <c r="BL20" s="1"/>
      <c r="BM20" s="1"/>
      <c r="BN20" s="1"/>
      <c r="BO20" s="1"/>
      <c r="BP20" s="1"/>
      <c r="BQ20" s="1"/>
      <c r="BR20" s="1"/>
      <c r="BS20" s="1"/>
      <c r="BT20" s="1"/>
      <c r="BU20" s="1">
        <v>30</v>
      </c>
      <c r="BV20" s="2"/>
      <c r="BW20" s="2"/>
      <c r="BX20" s="1"/>
      <c r="BY20" s="1"/>
      <c r="BZ20" s="1">
        <v>15</v>
      </c>
      <c r="CA20" s="1"/>
      <c r="CB20" s="1"/>
      <c r="CC20" s="1"/>
      <c r="CD20" s="1"/>
      <c r="CE20" s="1"/>
      <c r="CF20" s="1"/>
      <c r="CG20" s="1"/>
      <c r="CH20" s="1"/>
      <c r="CI20" s="1"/>
      <c r="CJ20" s="1"/>
      <c r="CK20" s="1"/>
      <c r="CL20" s="1"/>
      <c r="CM20" s="1"/>
      <c r="CN20" s="1"/>
      <c r="CO20" s="1"/>
      <c r="CP20" s="1"/>
      <c r="CQ20" s="1"/>
      <c r="CR20" s="1"/>
      <c r="CS20" s="1"/>
      <c r="CT20" s="1"/>
      <c r="CU20" s="1"/>
      <c r="CV20" s="1"/>
      <c r="CW20" s="1"/>
      <c r="CX20" s="2"/>
      <c r="CY20" s="2"/>
      <c r="CZ20" s="2"/>
      <c r="DA20" s="2"/>
      <c r="DB20" s="2"/>
      <c r="DC20" s="2"/>
      <c r="DD20" s="2"/>
      <c r="DE20" s="2"/>
      <c r="DF20" s="2"/>
      <c r="DG20" s="2"/>
      <c r="DH20" s="2"/>
      <c r="DI20" s="2"/>
      <c r="DJ20" s="2"/>
      <c r="DK20" s="2"/>
      <c r="DL20" s="2"/>
      <c r="DM20" s="2"/>
      <c r="DN20" s="2"/>
      <c r="DO20" s="2"/>
      <c r="DP20" s="2"/>
      <c r="DQ20" s="2"/>
      <c r="DR20" s="2"/>
      <c r="DS20" s="1"/>
      <c r="DT20" s="1"/>
      <c r="DU20" s="1"/>
      <c r="DV20" s="1"/>
      <c r="DW20" s="1"/>
      <c r="DX20" s="1"/>
      <c r="DY20" s="1"/>
      <c r="DZ20" s="1"/>
      <c r="EA20" s="1"/>
      <c r="EB20" s="1"/>
      <c r="EC20" s="2"/>
      <c r="ED20" s="2"/>
    </row>
    <row r="21" spans="1:134" x14ac:dyDescent="0.25">
      <c r="A21" s="1" t="s">
        <v>285</v>
      </c>
      <c r="B21" s="1" t="s">
        <v>284</v>
      </c>
      <c r="C21" s="2" t="s">
        <v>63</v>
      </c>
      <c r="D21" s="1">
        <v>2000</v>
      </c>
      <c r="E21" s="1">
        <v>300</v>
      </c>
      <c r="F21" s="2" t="s">
        <v>59</v>
      </c>
      <c r="G21" s="1">
        <v>1600</v>
      </c>
      <c r="H21" s="2">
        <f t="shared" si="0"/>
        <v>1250</v>
      </c>
      <c r="I21" s="1"/>
      <c r="J21" s="1"/>
      <c r="K21" s="1"/>
      <c r="L21" s="1"/>
      <c r="M21" s="1"/>
      <c r="N21" s="1"/>
      <c r="O21" s="1"/>
      <c r="P21" s="1"/>
      <c r="Q21" s="1"/>
      <c r="R21" s="1"/>
      <c r="S21" s="1"/>
      <c r="T21" s="1"/>
      <c r="U21" s="1"/>
      <c r="V21" s="1">
        <v>750</v>
      </c>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2"/>
      <c r="BW21" s="2"/>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v>500</v>
      </c>
      <c r="CX21" s="2"/>
      <c r="CY21" s="2"/>
      <c r="CZ21" s="2"/>
      <c r="DA21" s="2"/>
      <c r="DB21" s="2"/>
      <c r="DC21" s="2"/>
      <c r="DD21" s="2"/>
      <c r="DE21" s="2"/>
      <c r="DF21" s="2"/>
      <c r="DG21" s="2"/>
      <c r="DH21" s="2"/>
      <c r="DI21" s="2"/>
      <c r="DJ21" s="2"/>
      <c r="DK21" s="2"/>
      <c r="DL21" s="2"/>
      <c r="DM21" s="2"/>
      <c r="DN21" s="2"/>
      <c r="DO21" s="2">
        <v>4</v>
      </c>
      <c r="DP21" s="2"/>
      <c r="DQ21" s="2"/>
      <c r="DR21" s="2"/>
      <c r="DS21" s="1"/>
      <c r="DT21" s="1"/>
      <c r="DU21" s="1"/>
      <c r="DV21" s="1"/>
      <c r="DW21" s="1"/>
      <c r="DX21" s="1"/>
      <c r="DY21" s="1"/>
      <c r="DZ21" s="1"/>
      <c r="EA21" s="1"/>
      <c r="EB21" s="1"/>
      <c r="EC21" s="2"/>
      <c r="ED21" s="2"/>
    </row>
    <row r="22" spans="1:134" x14ac:dyDescent="0.25">
      <c r="A22" s="1" t="s">
        <v>576</v>
      </c>
      <c r="B22" s="1" t="s">
        <v>53</v>
      </c>
      <c r="C22" s="1" t="s">
        <v>70</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2"/>
      <c r="BW22" s="2"/>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2"/>
      <c r="CY22" s="2"/>
      <c r="CZ22" s="2"/>
      <c r="DA22" s="2"/>
      <c r="DB22" s="2"/>
      <c r="DC22" s="2"/>
      <c r="DD22" s="2"/>
      <c r="DE22" s="2"/>
      <c r="DF22" s="2"/>
      <c r="DG22" s="2"/>
      <c r="DH22" s="2"/>
      <c r="DI22" s="2"/>
      <c r="DJ22" s="2"/>
      <c r="DK22" s="2"/>
      <c r="DL22" s="2"/>
      <c r="DM22" s="2">
        <v>1</v>
      </c>
      <c r="DN22" s="2"/>
      <c r="DO22" s="2">
        <v>1</v>
      </c>
      <c r="DP22" s="2"/>
      <c r="DQ22" s="2"/>
      <c r="DR22" s="2"/>
      <c r="DS22" s="1"/>
      <c r="DT22" s="1"/>
      <c r="DU22" s="1"/>
      <c r="DV22" s="1"/>
      <c r="DW22" s="1"/>
      <c r="DX22" s="1"/>
      <c r="DY22" s="1"/>
      <c r="DZ22" s="1"/>
      <c r="EA22" s="1"/>
      <c r="EB22" s="1"/>
      <c r="EC22" s="2"/>
      <c r="ED22" s="2"/>
    </row>
    <row r="23" spans="1:134" x14ac:dyDescent="0.25">
      <c r="A23" s="3" t="s">
        <v>247</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v>30</v>
      </c>
      <c r="AB23" s="1"/>
      <c r="AC23" s="1"/>
      <c r="AD23" s="1"/>
      <c r="AE23" s="1"/>
      <c r="AF23" s="1">
        <v>30</v>
      </c>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2"/>
      <c r="BW23" s="2"/>
      <c r="BX23" s="1"/>
      <c r="BY23" s="1"/>
      <c r="BZ23" s="1"/>
      <c r="CA23" s="1"/>
      <c r="CB23" s="1"/>
      <c r="CC23" s="1"/>
      <c r="CD23" s="1"/>
      <c r="CE23" s="1"/>
      <c r="CF23" s="1"/>
      <c r="CG23" s="1"/>
      <c r="CH23" s="1"/>
      <c r="CI23" s="1"/>
      <c r="CJ23" s="1">
        <v>90</v>
      </c>
      <c r="CK23" s="1"/>
      <c r="CL23" s="1"/>
      <c r="CM23" s="1"/>
      <c r="CN23" s="1"/>
      <c r="CO23" s="1"/>
      <c r="CP23" s="1"/>
      <c r="CQ23" s="1"/>
      <c r="CR23" s="1"/>
      <c r="CS23" s="1"/>
      <c r="CT23" s="1"/>
      <c r="CU23" s="1"/>
      <c r="CV23" s="1"/>
      <c r="CW23" s="1"/>
      <c r="CX23" s="2"/>
      <c r="CY23" s="2"/>
      <c r="CZ23" s="2"/>
      <c r="DA23" s="2"/>
      <c r="DB23" s="2"/>
      <c r="DC23" s="2"/>
      <c r="DD23" s="2"/>
      <c r="DE23" s="2"/>
      <c r="DF23" s="2"/>
      <c r="DG23" s="2"/>
      <c r="DH23" s="2"/>
      <c r="DI23" s="2"/>
      <c r="DJ23" s="2"/>
      <c r="DK23" s="2"/>
      <c r="DL23" s="2"/>
      <c r="DM23" s="2"/>
      <c r="DN23" s="2"/>
      <c r="DO23" s="2"/>
      <c r="DP23" s="2"/>
      <c r="DQ23" s="2"/>
      <c r="DR23" s="2"/>
      <c r="DS23" s="1"/>
      <c r="DT23" s="1"/>
      <c r="DU23" s="1"/>
      <c r="DV23" s="1"/>
      <c r="DW23" s="1"/>
      <c r="DX23" s="1"/>
      <c r="DY23" s="1"/>
      <c r="DZ23" s="1"/>
      <c r="EA23" s="1"/>
      <c r="EB23" s="1"/>
      <c r="EC23" s="2"/>
      <c r="ED23" s="2"/>
    </row>
    <row r="24" spans="1:134"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v>60</v>
      </c>
      <c r="AY24" s="1"/>
      <c r="AZ24" s="1"/>
      <c r="BA24" s="1"/>
      <c r="BB24" s="1"/>
      <c r="BC24" s="1"/>
      <c r="BD24" s="1"/>
      <c r="BE24" s="1"/>
      <c r="BF24" s="1"/>
      <c r="BG24" s="1"/>
      <c r="BH24" s="1"/>
      <c r="BI24" s="1"/>
      <c r="BJ24" s="1"/>
      <c r="BK24" s="1"/>
      <c r="BL24" s="1"/>
      <c r="BM24" s="1"/>
      <c r="BN24" s="1"/>
      <c r="BO24" s="1"/>
      <c r="BP24" s="1"/>
      <c r="BQ24" s="1"/>
      <c r="BR24" s="1"/>
      <c r="BS24" s="1">
        <v>60</v>
      </c>
      <c r="BT24" s="1"/>
      <c r="BU24" s="1"/>
      <c r="BV24" s="2"/>
      <c r="BW24" s="2"/>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2"/>
      <c r="CY24" s="2"/>
      <c r="CZ24" s="2"/>
      <c r="DA24" s="2"/>
      <c r="DB24" s="2"/>
      <c r="DC24" s="2"/>
      <c r="DD24" s="2"/>
      <c r="DE24" s="2"/>
      <c r="DF24" s="2"/>
      <c r="DG24" s="2"/>
      <c r="DH24" s="2"/>
      <c r="DI24" s="2"/>
      <c r="DJ24" s="2"/>
      <c r="DK24" s="2"/>
      <c r="DL24" s="2"/>
      <c r="DM24" s="2"/>
      <c r="DN24" s="2"/>
      <c r="DO24" s="2"/>
      <c r="DP24" s="2"/>
      <c r="DQ24" s="2"/>
      <c r="DR24" s="2"/>
      <c r="DS24" s="1"/>
      <c r="DT24" s="1"/>
      <c r="DU24" s="1"/>
      <c r="DV24" s="1"/>
      <c r="DW24" s="1"/>
      <c r="DX24" s="1"/>
      <c r="DY24" s="1"/>
      <c r="DZ24" s="1"/>
      <c r="EA24" s="1"/>
      <c r="EB24" s="1"/>
      <c r="EC24" s="2"/>
      <c r="ED24" s="2"/>
    </row>
    <row r="25" spans="1:134"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v>15</v>
      </c>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v>120</v>
      </c>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v>1</v>
      </c>
      <c r="DT25" s="2"/>
      <c r="DU25" s="2"/>
      <c r="DV25" s="2"/>
      <c r="DW25" s="2"/>
      <c r="DX25" s="2"/>
      <c r="DY25" s="2"/>
      <c r="DZ25" s="2"/>
      <c r="EA25" s="2"/>
      <c r="EB25" s="2"/>
      <c r="EC25" s="2"/>
      <c r="ED25" s="2"/>
    </row>
    <row r="26" spans="1:134" x14ac:dyDescent="0.25">
      <c r="A26" s="1" t="s">
        <v>495</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v>15</v>
      </c>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v>120</v>
      </c>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row>
    <row r="27" spans="1:134" x14ac:dyDescent="0.25">
      <c r="A27" s="1" t="s">
        <v>690</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v>135</v>
      </c>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2"/>
      <c r="BW27" s="2"/>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2"/>
      <c r="CY27" s="2"/>
      <c r="CZ27" s="2"/>
      <c r="DA27" s="2"/>
      <c r="DB27" s="2"/>
      <c r="DC27" s="2"/>
      <c r="DD27" s="2"/>
      <c r="DE27" s="2"/>
      <c r="DF27" s="2"/>
      <c r="DG27" s="2"/>
      <c r="DH27" s="2"/>
      <c r="DI27" s="2"/>
      <c r="DJ27" s="2"/>
      <c r="DK27" s="2"/>
      <c r="DL27" s="2"/>
      <c r="DM27" s="2"/>
      <c r="DN27" s="2"/>
      <c r="DO27" s="2">
        <v>1</v>
      </c>
      <c r="DP27" s="2"/>
      <c r="DQ27" s="2"/>
      <c r="DR27" s="2">
        <v>2</v>
      </c>
      <c r="DS27" s="1"/>
      <c r="DT27" s="1"/>
      <c r="DU27" s="1"/>
      <c r="DV27" s="1"/>
      <c r="DW27" s="1"/>
      <c r="DX27" s="1"/>
      <c r="DY27" s="1"/>
      <c r="DZ27" s="1"/>
      <c r="EA27" s="1"/>
      <c r="EB27" s="1"/>
      <c r="EC27" s="2"/>
      <c r="ED27" s="2"/>
    </row>
    <row r="28" spans="1:134" x14ac:dyDescent="0.25">
      <c r="A28" s="1" t="s">
        <v>153</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v>60</v>
      </c>
      <c r="BB28" s="1"/>
      <c r="BC28" s="1"/>
      <c r="BD28" s="1"/>
      <c r="BE28" s="1"/>
      <c r="BF28" s="1"/>
      <c r="BG28" s="1"/>
      <c r="BH28" s="1"/>
      <c r="BI28" s="1"/>
      <c r="BJ28" s="1"/>
      <c r="BK28" s="1"/>
      <c r="BL28" s="1"/>
      <c r="BM28" s="1"/>
      <c r="BN28" s="1"/>
      <c r="BO28" s="1"/>
      <c r="BP28" s="1"/>
      <c r="BQ28" s="1"/>
      <c r="BR28" s="1"/>
      <c r="BS28" s="1"/>
      <c r="BT28" s="1"/>
      <c r="BU28" s="1"/>
      <c r="BV28" s="2"/>
      <c r="BW28" s="2"/>
      <c r="BX28" s="1"/>
      <c r="BY28" s="1"/>
      <c r="BZ28" s="1"/>
      <c r="CA28" s="1"/>
      <c r="CB28" s="1"/>
      <c r="CC28" s="1"/>
      <c r="CD28" s="1"/>
      <c r="CE28" s="1">
        <v>30</v>
      </c>
      <c r="CF28" s="1"/>
      <c r="CG28" s="1"/>
      <c r="CH28" s="1"/>
      <c r="CI28" s="1"/>
      <c r="CJ28" s="1"/>
      <c r="CK28" s="1"/>
      <c r="CL28" s="1"/>
      <c r="CM28" s="1"/>
      <c r="CN28" s="1"/>
      <c r="CO28" s="1"/>
      <c r="CP28" s="1"/>
      <c r="CQ28" s="1"/>
      <c r="CR28" s="1"/>
      <c r="CS28" s="1"/>
      <c r="CT28" s="1"/>
      <c r="CU28" s="1"/>
      <c r="CV28" s="1"/>
      <c r="CW28" s="1"/>
      <c r="CX28" s="2"/>
      <c r="CY28" s="2"/>
      <c r="CZ28" s="2"/>
      <c r="DA28" s="2"/>
      <c r="DB28" s="2"/>
      <c r="DC28" s="2"/>
      <c r="DD28" s="2"/>
      <c r="DE28" s="2"/>
      <c r="DF28" s="2"/>
      <c r="DG28" s="2"/>
      <c r="DH28" s="2"/>
      <c r="DI28" s="2"/>
      <c r="DJ28" s="2"/>
      <c r="DK28" s="2"/>
      <c r="DL28" s="2"/>
      <c r="DM28" s="2"/>
      <c r="DN28" s="2"/>
      <c r="DO28" s="2"/>
      <c r="DP28" s="2"/>
      <c r="DQ28" s="2"/>
      <c r="DR28" s="2"/>
      <c r="DS28" s="1"/>
      <c r="DT28" s="1"/>
      <c r="DU28" s="1"/>
      <c r="DV28" s="1"/>
      <c r="DW28" s="1"/>
      <c r="DX28" s="1"/>
      <c r="DY28" s="1"/>
      <c r="DZ28" s="1"/>
      <c r="EA28" s="1"/>
      <c r="EB28" s="1"/>
      <c r="EC28" s="2"/>
      <c r="ED28" s="2"/>
    </row>
    <row r="29" spans="1:134"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v>30</v>
      </c>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row>
    <row r="30" spans="1:134" x14ac:dyDescent="0.25">
      <c r="A30" s="1" t="s">
        <v>712</v>
      </c>
      <c r="B30" s="1" t="s">
        <v>284</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v>750</v>
      </c>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2"/>
      <c r="BW30" s="2"/>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v>500</v>
      </c>
      <c r="CX30" s="2"/>
      <c r="CY30" s="2"/>
      <c r="CZ30" s="2"/>
      <c r="DA30" s="2"/>
      <c r="DB30" s="2"/>
      <c r="DC30" s="2"/>
      <c r="DD30" s="2"/>
      <c r="DE30" s="2"/>
      <c r="DF30" s="2"/>
      <c r="DG30" s="2"/>
      <c r="DH30" s="2"/>
      <c r="DI30" s="2"/>
      <c r="DJ30" s="2"/>
      <c r="DK30" s="2"/>
      <c r="DL30" s="2"/>
      <c r="DM30" s="2"/>
      <c r="DN30" s="2"/>
      <c r="DO30" s="2">
        <v>4</v>
      </c>
      <c r="DP30" s="2"/>
      <c r="DQ30" s="2"/>
      <c r="DR30" s="2"/>
      <c r="DS30" s="1"/>
      <c r="DT30" s="1"/>
      <c r="DU30" s="1"/>
      <c r="DV30" s="1"/>
      <c r="DW30" s="1"/>
      <c r="DX30" s="1"/>
      <c r="DY30" s="1"/>
      <c r="DZ30" s="1"/>
      <c r="EA30" s="1"/>
      <c r="EB30" s="1"/>
      <c r="EC30" s="2"/>
      <c r="ED30" s="2"/>
    </row>
    <row r="31" spans="1:134" x14ac:dyDescent="0.25">
      <c r="A31" s="1" t="s">
        <v>596</v>
      </c>
      <c r="B31" s="1" t="s">
        <v>284</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v>750</v>
      </c>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2"/>
      <c r="BW31" s="2"/>
      <c r="BX31" s="1"/>
      <c r="BY31" s="1"/>
      <c r="BZ31" s="1"/>
      <c r="CA31" s="1"/>
      <c r="CB31" s="1"/>
      <c r="CC31" s="1"/>
      <c r="CD31" s="1"/>
      <c r="CE31" s="1"/>
      <c r="CF31" s="1"/>
      <c r="CG31" s="1"/>
      <c r="CH31" s="1"/>
      <c r="CI31" s="1"/>
      <c r="CJ31" s="1"/>
      <c r="CK31" s="1"/>
      <c r="CL31" s="1"/>
      <c r="CM31" s="1"/>
      <c r="CN31" s="1"/>
      <c r="CO31" s="1"/>
      <c r="CP31" s="1"/>
      <c r="CQ31" s="1"/>
      <c r="CR31" s="1"/>
      <c r="CS31" s="1"/>
      <c r="CT31" s="1"/>
      <c r="CU31" s="1">
        <v>400</v>
      </c>
      <c r="CV31" s="1"/>
      <c r="CW31" s="1"/>
      <c r="CX31" s="2"/>
      <c r="CY31" s="2"/>
      <c r="CZ31" s="2"/>
      <c r="DA31" s="2"/>
      <c r="DB31" s="2"/>
      <c r="DC31" s="2"/>
      <c r="DD31" s="2"/>
      <c r="DE31" s="2"/>
      <c r="DF31" s="2"/>
      <c r="DG31" s="2"/>
      <c r="DH31" s="2"/>
      <c r="DI31" s="2"/>
      <c r="DJ31" s="2"/>
      <c r="DK31" s="2"/>
      <c r="DL31" s="2"/>
      <c r="DM31" s="2"/>
      <c r="DN31" s="2"/>
      <c r="DO31" s="2">
        <v>3</v>
      </c>
      <c r="DP31" s="2"/>
      <c r="DQ31" s="2"/>
      <c r="DR31" s="2"/>
      <c r="DS31" s="1"/>
      <c r="DT31" s="1"/>
      <c r="DU31" s="1"/>
      <c r="DV31" s="1"/>
      <c r="DW31" s="1"/>
      <c r="DX31" s="1"/>
      <c r="DY31" s="1"/>
      <c r="DZ31" s="1"/>
      <c r="EA31" s="1"/>
      <c r="EB31" s="1"/>
      <c r="EC31" s="2"/>
      <c r="ED31" s="2"/>
    </row>
    <row r="32" spans="1:134" x14ac:dyDescent="0.25">
      <c r="A32" s="1" t="s">
        <v>713</v>
      </c>
      <c r="B32" s="1" t="s">
        <v>284</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v>750</v>
      </c>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2"/>
      <c r="BW32" s="2"/>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2"/>
      <c r="CY32" s="2"/>
      <c r="CZ32" s="2"/>
      <c r="DA32" s="2"/>
      <c r="DB32" s="2"/>
      <c r="DC32" s="2">
        <v>4</v>
      </c>
      <c r="DD32" s="2"/>
      <c r="DE32" s="2"/>
      <c r="DF32" s="2"/>
      <c r="DG32" s="2"/>
      <c r="DH32" s="2"/>
      <c r="DI32" s="2"/>
      <c r="DJ32" s="2"/>
      <c r="DK32" s="2"/>
      <c r="DL32" s="2"/>
      <c r="DM32" s="2"/>
      <c r="DN32" s="2"/>
      <c r="DO32" s="2">
        <v>4</v>
      </c>
      <c r="DP32" s="2"/>
      <c r="DQ32" s="2"/>
      <c r="DR32" s="2"/>
      <c r="DS32" s="1"/>
      <c r="DT32" s="1"/>
      <c r="DU32" s="1"/>
      <c r="DV32" s="1"/>
      <c r="DW32" s="1"/>
      <c r="DX32" s="1"/>
      <c r="DY32" s="1"/>
      <c r="DZ32" s="1"/>
      <c r="EA32" s="1"/>
      <c r="EB32" s="1"/>
      <c r="EC32" s="2"/>
      <c r="ED32" s="2"/>
    </row>
    <row r="33" spans="1:134" x14ac:dyDescent="0.25">
      <c r="A33" s="1" t="s">
        <v>524</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v>30</v>
      </c>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v>30</v>
      </c>
      <c r="CJ33" s="2"/>
      <c r="CK33" s="2"/>
      <c r="CL33" s="2"/>
      <c r="CM33" s="2"/>
      <c r="CN33" s="2"/>
      <c r="CO33" s="2"/>
      <c r="CP33" s="2"/>
      <c r="CQ33" s="2"/>
      <c r="CR33" s="2">
        <v>15</v>
      </c>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row>
    <row r="34" spans="1:134" x14ac:dyDescent="0.25">
      <c r="A34" s="1" t="s">
        <v>192</v>
      </c>
      <c r="B34" s="1" t="s">
        <v>51</v>
      </c>
      <c r="C34" s="2" t="s">
        <v>63</v>
      </c>
      <c r="D34" s="2">
        <v>300</v>
      </c>
      <c r="E34" s="2">
        <v>120</v>
      </c>
      <c r="F34" s="2" t="s">
        <v>59</v>
      </c>
      <c r="G34" s="2">
        <v>180</v>
      </c>
      <c r="H34" s="2">
        <f t="shared" ref="H34:H65" si="1">SUM(I34:CW34)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v>30</v>
      </c>
      <c r="AZ34" s="1"/>
      <c r="BA34" s="1"/>
      <c r="BB34" s="1">
        <v>30</v>
      </c>
      <c r="BC34" s="1"/>
      <c r="BD34" s="1"/>
      <c r="BE34" s="1"/>
      <c r="BF34" s="1"/>
      <c r="BG34" s="1"/>
      <c r="BH34" s="1"/>
      <c r="BI34" s="1"/>
      <c r="BJ34" s="1"/>
      <c r="BK34" s="1"/>
      <c r="BL34" s="1"/>
      <c r="BM34" s="1"/>
      <c r="BN34" s="1">
        <v>30</v>
      </c>
      <c r="BO34" s="1"/>
      <c r="BP34" s="1"/>
      <c r="BQ34" s="1"/>
      <c r="BR34" s="1"/>
      <c r="BS34" s="1"/>
      <c r="BT34" s="1"/>
      <c r="BU34" s="1"/>
      <c r="BV34" s="2"/>
      <c r="BW34" s="2"/>
      <c r="BX34" s="1"/>
      <c r="BY34" s="1"/>
      <c r="BZ34" s="1">
        <v>30</v>
      </c>
      <c r="CA34" s="1"/>
      <c r="CB34" s="1"/>
      <c r="CC34" s="1"/>
      <c r="CD34" s="1"/>
      <c r="CE34" s="1"/>
      <c r="CF34" s="1"/>
      <c r="CG34" s="1"/>
      <c r="CH34" s="1"/>
      <c r="CI34" s="1"/>
      <c r="CJ34" s="1"/>
      <c r="CK34" s="1"/>
      <c r="CL34" s="1"/>
      <c r="CM34" s="1"/>
      <c r="CN34" s="1"/>
      <c r="CO34" s="1"/>
      <c r="CP34" s="1"/>
      <c r="CQ34" s="1"/>
      <c r="CR34" s="1"/>
      <c r="CS34" s="1"/>
      <c r="CT34" s="1"/>
      <c r="CU34" s="1"/>
      <c r="CV34" s="1"/>
      <c r="CW34" s="1"/>
      <c r="CX34" s="2"/>
      <c r="CY34" s="2"/>
      <c r="CZ34" s="2"/>
      <c r="DA34" s="2"/>
      <c r="DB34" s="2"/>
      <c r="DC34" s="2"/>
      <c r="DD34" s="2"/>
      <c r="DE34" s="2"/>
      <c r="DF34" s="2"/>
      <c r="DG34" s="2"/>
      <c r="DH34" s="2"/>
      <c r="DI34" s="2"/>
      <c r="DJ34" s="2"/>
      <c r="DK34" s="2"/>
      <c r="DL34" s="2"/>
      <c r="DM34" s="2"/>
      <c r="DN34" s="2"/>
      <c r="DO34" s="2"/>
      <c r="DP34" s="2"/>
      <c r="DQ34" s="2"/>
      <c r="DR34" s="2"/>
      <c r="DS34" s="1"/>
      <c r="DT34" s="1"/>
      <c r="DU34" s="1"/>
      <c r="DV34" s="1"/>
      <c r="DW34" s="1"/>
      <c r="DX34" s="1"/>
      <c r="DY34" s="1"/>
      <c r="DZ34" s="1"/>
      <c r="EA34" s="1"/>
      <c r="EB34" s="1"/>
      <c r="EC34" s="2"/>
      <c r="ED34" s="2"/>
    </row>
    <row r="35" spans="1:134" x14ac:dyDescent="0.25">
      <c r="A35" s="1" t="s">
        <v>248</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v>15</v>
      </c>
      <c r="AK35" s="1"/>
      <c r="AL35" s="1"/>
      <c r="AM35" s="1"/>
      <c r="AN35" s="1"/>
      <c r="AO35" s="1"/>
      <c r="AP35" s="1"/>
      <c r="AQ35" s="1"/>
      <c r="AR35" s="1"/>
      <c r="AS35" s="1"/>
      <c r="AT35" s="1"/>
      <c r="AU35" s="1"/>
      <c r="AV35" s="1"/>
      <c r="AW35" s="1"/>
      <c r="AX35" s="1"/>
      <c r="AY35" s="1">
        <v>15</v>
      </c>
      <c r="AZ35" s="1"/>
      <c r="BA35" s="1"/>
      <c r="BB35" s="1"/>
      <c r="BC35" s="1"/>
      <c r="BD35" s="1"/>
      <c r="BE35" s="1"/>
      <c r="BF35" s="1">
        <v>30</v>
      </c>
      <c r="BG35" s="1"/>
      <c r="BH35" s="1"/>
      <c r="BI35" s="1"/>
      <c r="BJ35" s="1"/>
      <c r="BK35" s="1"/>
      <c r="BL35" s="1"/>
      <c r="BM35" s="1"/>
      <c r="BN35" s="1"/>
      <c r="BO35" s="1"/>
      <c r="BP35" s="1"/>
      <c r="BQ35" s="1"/>
      <c r="BR35" s="1"/>
      <c r="BS35" s="1"/>
      <c r="BT35" s="1"/>
      <c r="BU35" s="1"/>
      <c r="BV35" s="2"/>
      <c r="BW35" s="2"/>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2"/>
      <c r="CY35" s="2"/>
      <c r="CZ35" s="2"/>
      <c r="DA35" s="2"/>
      <c r="DB35" s="2"/>
      <c r="DC35" s="2"/>
      <c r="DD35" s="2"/>
      <c r="DE35" s="2"/>
      <c r="DF35" s="2"/>
      <c r="DG35" s="2"/>
      <c r="DH35" s="2"/>
      <c r="DI35" s="2"/>
      <c r="DJ35" s="2"/>
      <c r="DK35" s="2"/>
      <c r="DL35" s="2"/>
      <c r="DM35" s="2"/>
      <c r="DN35" s="2"/>
      <c r="DO35" s="2"/>
      <c r="DP35" s="2"/>
      <c r="DQ35" s="2"/>
      <c r="DR35" s="2"/>
      <c r="DS35" s="1"/>
      <c r="DT35" s="1"/>
      <c r="DU35" s="1"/>
      <c r="DV35" s="1"/>
      <c r="DW35" s="1"/>
      <c r="DX35" s="1"/>
      <c r="DY35" s="1"/>
      <c r="DZ35" s="1"/>
      <c r="EA35" s="1"/>
      <c r="EB35" s="1"/>
      <c r="EC35" s="2"/>
      <c r="ED35" s="2"/>
    </row>
    <row r="36" spans="1:134" x14ac:dyDescent="0.25">
      <c r="A36" s="1" t="s">
        <v>522</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v>15</v>
      </c>
      <c r="AK36" s="1"/>
      <c r="AL36" s="1"/>
      <c r="AM36" s="1"/>
      <c r="AN36" s="1"/>
      <c r="AO36" s="1"/>
      <c r="AP36" s="1"/>
      <c r="AQ36" s="1"/>
      <c r="AR36" s="1"/>
      <c r="AS36" s="1"/>
      <c r="AT36" s="1"/>
      <c r="AU36" s="1"/>
      <c r="AV36" s="1"/>
      <c r="AW36" s="1"/>
      <c r="AX36" s="1"/>
      <c r="AY36" s="1">
        <v>15</v>
      </c>
      <c r="AZ36" s="1"/>
      <c r="BA36" s="1"/>
      <c r="BB36" s="1"/>
      <c r="BC36" s="1"/>
      <c r="BD36" s="1"/>
      <c r="BE36" s="1"/>
      <c r="BF36" s="1"/>
      <c r="BG36" s="1">
        <v>30</v>
      </c>
      <c r="BH36" s="1"/>
      <c r="BI36" s="1"/>
      <c r="BJ36" s="1"/>
      <c r="BK36" s="1"/>
      <c r="BL36" s="1"/>
      <c r="BM36" s="1"/>
      <c r="BN36" s="1"/>
      <c r="BO36" s="1"/>
      <c r="BP36" s="1"/>
      <c r="BQ36" s="1"/>
      <c r="BR36" s="1"/>
      <c r="BS36" s="1"/>
      <c r="BT36" s="1"/>
      <c r="BU36" s="1"/>
      <c r="BV36" s="2"/>
      <c r="BW36" s="2"/>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2"/>
      <c r="CY36" s="2"/>
      <c r="CZ36" s="2"/>
      <c r="DA36" s="2"/>
      <c r="DB36" s="2"/>
      <c r="DC36" s="2"/>
      <c r="DD36" s="2"/>
      <c r="DE36" s="2"/>
      <c r="DF36" s="2"/>
      <c r="DG36" s="2"/>
      <c r="DH36" s="2"/>
      <c r="DI36" s="2"/>
      <c r="DJ36" s="2"/>
      <c r="DK36" s="2"/>
      <c r="DL36" s="2"/>
      <c r="DM36" s="2"/>
      <c r="DN36" s="2"/>
      <c r="DO36" s="2"/>
      <c r="DP36" s="2"/>
      <c r="DQ36" s="2"/>
      <c r="DR36" s="2"/>
      <c r="DS36" s="1"/>
      <c r="DT36" s="1"/>
      <c r="DU36" s="1"/>
      <c r="DV36" s="1"/>
      <c r="DW36" s="1"/>
      <c r="DX36" s="1"/>
      <c r="DY36" s="1"/>
      <c r="DZ36" s="1"/>
      <c r="EA36" s="1"/>
      <c r="EB36" s="1"/>
      <c r="EC36" s="2"/>
      <c r="ED36" s="2"/>
    </row>
    <row r="37" spans="1:134" x14ac:dyDescent="0.25">
      <c r="A37" s="1" t="s">
        <v>584</v>
      </c>
      <c r="B37" s="1" t="s">
        <v>53</v>
      </c>
      <c r="C37" s="2" t="s">
        <v>747</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v>15</v>
      </c>
      <c r="AZ37" s="1"/>
      <c r="BA37" s="1"/>
      <c r="BB37" s="1"/>
      <c r="BC37" s="1"/>
      <c r="BD37" s="1"/>
      <c r="BE37" s="1"/>
      <c r="BF37" s="1"/>
      <c r="BG37" s="1"/>
      <c r="BH37" s="1"/>
      <c r="BI37" s="1"/>
      <c r="BJ37" s="1"/>
      <c r="BK37" s="1"/>
      <c r="BL37" s="1"/>
      <c r="BM37" s="1"/>
      <c r="BN37" s="1"/>
      <c r="BO37" s="1"/>
      <c r="BP37" s="1"/>
      <c r="BQ37" s="1"/>
      <c r="BR37" s="1"/>
      <c r="BS37" s="1"/>
      <c r="BT37" s="1"/>
      <c r="BU37" s="1"/>
      <c r="BV37" s="2"/>
      <c r="BW37" s="2"/>
      <c r="BX37" s="1"/>
      <c r="BY37" s="1"/>
      <c r="BZ37" s="1">
        <v>15</v>
      </c>
      <c r="CA37" s="1"/>
      <c r="CB37" s="1"/>
      <c r="CC37" s="1"/>
      <c r="CD37" s="1"/>
      <c r="CE37" s="1"/>
      <c r="CF37" s="1"/>
      <c r="CG37" s="1"/>
      <c r="CH37" s="1"/>
      <c r="CI37" s="1"/>
      <c r="CJ37" s="1"/>
      <c r="CK37" s="1"/>
      <c r="CL37" s="1"/>
      <c r="CM37" s="1"/>
      <c r="CN37" s="1"/>
      <c r="CO37" s="1"/>
      <c r="CP37" s="1"/>
      <c r="CQ37" s="1"/>
      <c r="CR37" s="1"/>
      <c r="CS37" s="1"/>
      <c r="CT37" s="1"/>
      <c r="CU37" s="1"/>
      <c r="CV37" s="1"/>
      <c r="CW37" s="1"/>
      <c r="CX37" s="2">
        <v>4</v>
      </c>
      <c r="CY37" s="2"/>
      <c r="CZ37" s="2"/>
      <c r="DA37" s="2"/>
      <c r="DB37" s="2">
        <v>5</v>
      </c>
      <c r="DC37" s="2"/>
      <c r="DD37" s="2"/>
      <c r="DE37" s="2"/>
      <c r="DF37" s="2"/>
      <c r="DG37" s="2"/>
      <c r="DH37" s="2"/>
      <c r="DI37" s="2"/>
      <c r="DJ37" s="2"/>
      <c r="DK37" s="2"/>
      <c r="DL37" s="2"/>
      <c r="DM37" s="2"/>
      <c r="DN37" s="2"/>
      <c r="DO37" s="2"/>
      <c r="DP37" s="2"/>
      <c r="DQ37" s="2"/>
      <c r="DR37" s="2"/>
      <c r="DS37" s="1"/>
      <c r="DT37" s="1"/>
      <c r="DU37" s="1"/>
      <c r="DV37" s="1"/>
      <c r="DW37" s="1"/>
      <c r="DX37" s="1"/>
      <c r="DY37" s="1"/>
      <c r="DZ37" s="1"/>
      <c r="EA37" s="1"/>
      <c r="EB37" s="1"/>
      <c r="EC37" s="2"/>
      <c r="ED37" s="2"/>
    </row>
    <row r="38" spans="1:134" x14ac:dyDescent="0.25">
      <c r="A38" s="1" t="s">
        <v>516</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v>15</v>
      </c>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v>120</v>
      </c>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row>
    <row r="39" spans="1:134" x14ac:dyDescent="0.25">
      <c r="A39" s="1" t="s">
        <v>207</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v>135</v>
      </c>
      <c r="Y39" s="2"/>
      <c r="Z39" s="2"/>
      <c r="AA39" s="2"/>
      <c r="AB39" s="2"/>
      <c r="AC39" s="2"/>
      <c r="AD39" s="2"/>
      <c r="AE39" s="2"/>
      <c r="AF39" s="2"/>
      <c r="AG39" s="2"/>
      <c r="AH39" s="2"/>
      <c r="AI39" s="2"/>
      <c r="AJ39" s="2"/>
      <c r="AK39" s="2"/>
      <c r="AL39" s="2"/>
      <c r="AM39" s="2"/>
      <c r="AN39" s="2"/>
      <c r="AO39" s="2"/>
      <c r="AP39" s="2">
        <v>90</v>
      </c>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v>45</v>
      </c>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row>
    <row r="40" spans="1:134"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v>30</v>
      </c>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v>30</v>
      </c>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row>
    <row r="41" spans="1:134" x14ac:dyDescent="0.25">
      <c r="A41" s="1" t="s">
        <v>313</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v>30</v>
      </c>
      <c r="AK41" s="1"/>
      <c r="AL41" s="1"/>
      <c r="AM41" s="1"/>
      <c r="AN41" s="1"/>
      <c r="AO41" s="1"/>
      <c r="AP41" s="1"/>
      <c r="AQ41" s="1"/>
      <c r="AR41" s="1"/>
      <c r="AS41" s="1"/>
      <c r="AT41" s="1"/>
      <c r="AU41" s="1"/>
      <c r="AV41" s="1"/>
      <c r="AW41" s="1"/>
      <c r="AX41" s="1"/>
      <c r="AY41" s="1">
        <v>30</v>
      </c>
      <c r="AZ41" s="1"/>
      <c r="BA41" s="1"/>
      <c r="BB41" s="1"/>
      <c r="BC41" s="1"/>
      <c r="BD41" s="1"/>
      <c r="BE41" s="1"/>
      <c r="BF41" s="1"/>
      <c r="BG41" s="1"/>
      <c r="BH41" s="1"/>
      <c r="BI41" s="1"/>
      <c r="BJ41" s="1"/>
      <c r="BK41" s="1"/>
      <c r="BL41" s="1"/>
      <c r="BM41" s="1"/>
      <c r="BN41" s="1"/>
      <c r="BO41" s="1"/>
      <c r="BP41" s="1"/>
      <c r="BQ41" s="1"/>
      <c r="BR41" s="1"/>
      <c r="BS41" s="1"/>
      <c r="BT41" s="1"/>
      <c r="BU41" s="1"/>
      <c r="BV41" s="2"/>
      <c r="BW41" s="2"/>
      <c r="BX41" s="1"/>
      <c r="BY41" s="1"/>
      <c r="BZ41" s="1">
        <v>15</v>
      </c>
      <c r="CA41" s="1"/>
      <c r="CB41" s="1"/>
      <c r="CC41" s="1"/>
      <c r="CD41" s="1"/>
      <c r="CE41" s="1"/>
      <c r="CF41" s="1"/>
      <c r="CG41" s="1"/>
      <c r="CH41" s="1"/>
      <c r="CI41" s="1"/>
      <c r="CJ41" s="1"/>
      <c r="CK41" s="1"/>
      <c r="CL41" s="1"/>
      <c r="CM41" s="1"/>
      <c r="CN41" s="1"/>
      <c r="CO41" s="1"/>
      <c r="CP41" s="1"/>
      <c r="CQ41" s="1"/>
      <c r="CR41" s="1">
        <v>15</v>
      </c>
      <c r="CS41" s="1"/>
      <c r="CT41" s="1"/>
      <c r="CU41" s="1"/>
      <c r="CV41" s="1"/>
      <c r="CW41" s="1"/>
      <c r="CX41" s="2"/>
      <c r="CY41" s="2"/>
      <c r="CZ41" s="2"/>
      <c r="DA41" s="2"/>
      <c r="DB41" s="2"/>
      <c r="DC41" s="2"/>
      <c r="DD41" s="2"/>
      <c r="DE41" s="2"/>
      <c r="DF41" s="2"/>
      <c r="DG41" s="2"/>
      <c r="DH41" s="2"/>
      <c r="DI41" s="2"/>
      <c r="DJ41" s="2"/>
      <c r="DK41" s="2"/>
      <c r="DL41" s="2"/>
      <c r="DM41" s="2"/>
      <c r="DN41" s="2"/>
      <c r="DO41" s="2"/>
      <c r="DP41" s="2"/>
      <c r="DQ41" s="2"/>
      <c r="DR41" s="2"/>
      <c r="DS41" s="1"/>
      <c r="DT41" s="1"/>
      <c r="DU41" s="1"/>
      <c r="DV41" s="1"/>
      <c r="DW41" s="1"/>
      <c r="DX41" s="1"/>
      <c r="DY41" s="1"/>
      <c r="DZ41" s="1"/>
      <c r="EA41" s="1"/>
      <c r="EB41" s="1"/>
      <c r="EC41" s="2"/>
      <c r="ED41" s="2"/>
    </row>
    <row r="42" spans="1:134" x14ac:dyDescent="0.25">
      <c r="A42" s="1" t="s">
        <v>26</v>
      </c>
      <c r="B42" s="1" t="s">
        <v>50</v>
      </c>
      <c r="C42" s="3" t="s">
        <v>71</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v>15</v>
      </c>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v>150</v>
      </c>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row>
    <row r="43" spans="1:134" x14ac:dyDescent="0.25">
      <c r="A43" s="1" t="s">
        <v>154</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v>120</v>
      </c>
      <c r="BA43" s="1"/>
      <c r="BB43" s="1"/>
      <c r="BC43" s="1"/>
      <c r="BD43" s="1"/>
      <c r="BE43" s="1"/>
      <c r="BF43" s="1"/>
      <c r="BG43" s="1"/>
      <c r="BH43" s="1"/>
      <c r="BI43" s="1"/>
      <c r="BJ43" s="1"/>
      <c r="BK43" s="1"/>
      <c r="BL43" s="1"/>
      <c r="BM43" s="1"/>
      <c r="BN43" s="1"/>
      <c r="BO43" s="1"/>
      <c r="BP43" s="1"/>
      <c r="BQ43" s="1"/>
      <c r="BR43" s="1"/>
      <c r="BS43" s="1"/>
      <c r="BT43" s="1"/>
      <c r="BU43" s="1"/>
      <c r="BV43" s="2"/>
      <c r="BW43" s="2"/>
      <c r="BX43" s="1"/>
      <c r="BY43" s="1"/>
      <c r="BZ43" s="1">
        <v>15</v>
      </c>
      <c r="CA43" s="1"/>
      <c r="CB43" s="1"/>
      <c r="CC43" s="1"/>
      <c r="CD43" s="1"/>
      <c r="CE43" s="1"/>
      <c r="CF43" s="1"/>
      <c r="CG43" s="1"/>
      <c r="CH43" s="1"/>
      <c r="CI43" s="1"/>
      <c r="CJ43" s="1"/>
      <c r="CK43" s="1"/>
      <c r="CL43" s="1"/>
      <c r="CM43" s="1"/>
      <c r="CN43" s="1"/>
      <c r="CO43" s="1"/>
      <c r="CP43" s="1"/>
      <c r="CQ43" s="1"/>
      <c r="CR43" s="1"/>
      <c r="CS43" s="1"/>
      <c r="CT43" s="1"/>
      <c r="CU43" s="1"/>
      <c r="CV43" s="1"/>
      <c r="CW43" s="1"/>
      <c r="CX43" s="2"/>
      <c r="CY43" s="2"/>
      <c r="CZ43" s="2"/>
      <c r="DA43" s="2"/>
      <c r="DB43" s="2"/>
      <c r="DC43" s="2"/>
      <c r="DD43" s="2"/>
      <c r="DE43" s="2"/>
      <c r="DF43" s="2"/>
      <c r="DG43" s="2"/>
      <c r="DH43" s="2"/>
      <c r="DI43" s="2"/>
      <c r="DJ43" s="2"/>
      <c r="DK43" s="2"/>
      <c r="DL43" s="2"/>
      <c r="DM43" s="2"/>
      <c r="DN43" s="2"/>
      <c r="DO43" s="2"/>
      <c r="DP43" s="2"/>
      <c r="DQ43" s="2"/>
      <c r="DR43" s="2"/>
      <c r="DS43" s="1"/>
      <c r="DT43" s="1"/>
      <c r="DU43" s="1"/>
      <c r="DV43" s="1"/>
      <c r="DW43" s="1"/>
      <c r="DX43" s="1"/>
      <c r="DY43" s="1"/>
      <c r="DZ43" s="1"/>
      <c r="EA43" s="1"/>
      <c r="EB43" s="1"/>
      <c r="EC43" s="2"/>
      <c r="ED43" s="2"/>
    </row>
    <row r="44" spans="1:134" x14ac:dyDescent="0.25">
      <c r="A44" s="1" t="s">
        <v>272</v>
      </c>
      <c r="B44" s="1" t="s">
        <v>270</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v>30</v>
      </c>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2"/>
      <c r="BW44" s="2"/>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2"/>
      <c r="CY44" s="2"/>
      <c r="CZ44" s="2"/>
      <c r="DA44" s="2"/>
      <c r="DB44" s="2"/>
      <c r="DC44" s="2"/>
      <c r="DD44" s="2"/>
      <c r="DE44" s="2"/>
      <c r="DF44" s="2"/>
      <c r="DG44" s="2"/>
      <c r="DH44" s="2"/>
      <c r="DI44" s="2"/>
      <c r="DJ44" s="2"/>
      <c r="DK44" s="2"/>
      <c r="DL44" s="2"/>
      <c r="DM44" s="2"/>
      <c r="DN44" s="2"/>
      <c r="DO44" s="2"/>
      <c r="DP44" s="2"/>
      <c r="DQ44" s="2"/>
      <c r="DR44" s="2"/>
      <c r="DS44" s="1"/>
      <c r="DT44" s="1"/>
      <c r="DU44" s="1"/>
      <c r="DV44" s="1"/>
      <c r="DW44" s="1"/>
      <c r="DX44" s="1"/>
      <c r="DY44" s="1"/>
      <c r="DZ44" s="1"/>
      <c r="EA44" s="1"/>
      <c r="EB44" s="1"/>
      <c r="EC44" s="2"/>
      <c r="ED44" s="2"/>
    </row>
    <row r="45" spans="1:134" x14ac:dyDescent="0.25">
      <c r="A45" s="1" t="s">
        <v>254</v>
      </c>
      <c r="B45" s="1" t="s">
        <v>54</v>
      </c>
      <c r="C45" s="3" t="s">
        <v>68</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v>10</v>
      </c>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2"/>
      <c r="BW45" s="2"/>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2"/>
      <c r="CY45" s="2"/>
      <c r="CZ45" s="2"/>
      <c r="DA45" s="2"/>
      <c r="DB45" s="2"/>
      <c r="DC45" s="2"/>
      <c r="DD45" s="2"/>
      <c r="DE45" s="2"/>
      <c r="DF45" s="2"/>
      <c r="DG45" s="2"/>
      <c r="DH45" s="2"/>
      <c r="DI45" s="2"/>
      <c r="DJ45" s="2"/>
      <c r="DK45" s="2"/>
      <c r="DL45" s="2"/>
      <c r="DM45" s="2"/>
      <c r="DN45" s="2"/>
      <c r="DO45" s="2"/>
      <c r="DP45" s="2"/>
      <c r="DQ45" s="2"/>
      <c r="DR45" s="2"/>
      <c r="DS45" s="1"/>
      <c r="DT45" s="1"/>
      <c r="DU45" s="1"/>
      <c r="DV45" s="1"/>
      <c r="DW45" s="1"/>
      <c r="DX45" s="1"/>
      <c r="DY45" s="1"/>
      <c r="DZ45" s="1"/>
      <c r="EA45" s="1"/>
      <c r="EB45" s="1"/>
      <c r="EC45" s="2"/>
      <c r="ED45" s="2"/>
    </row>
    <row r="46" spans="1:134"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v>60</v>
      </c>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v>15</v>
      </c>
      <c r="AZ46" s="1">
        <v>60</v>
      </c>
      <c r="BA46" s="1"/>
      <c r="BB46" s="1"/>
      <c r="BC46" s="1"/>
      <c r="BD46" s="1"/>
      <c r="BE46" s="1"/>
      <c r="BF46" s="1"/>
      <c r="BG46" s="1"/>
      <c r="BH46" s="1"/>
      <c r="BI46" s="1"/>
      <c r="BJ46" s="1"/>
      <c r="BK46" s="1"/>
      <c r="BL46" s="1"/>
      <c r="BM46" s="1"/>
      <c r="BN46" s="1"/>
      <c r="BO46" s="1"/>
      <c r="BP46" s="1"/>
      <c r="BQ46" s="1"/>
      <c r="BR46" s="1"/>
      <c r="BS46" s="1"/>
      <c r="BT46" s="1"/>
      <c r="BU46" s="1"/>
      <c r="BV46" s="2"/>
      <c r="BW46" s="2"/>
      <c r="BX46" s="1"/>
      <c r="BY46" s="1"/>
      <c r="BZ46" s="1"/>
      <c r="CA46" s="1">
        <v>30</v>
      </c>
      <c r="CB46" s="1"/>
      <c r="CC46" s="1"/>
      <c r="CD46" s="1"/>
      <c r="CE46" s="1"/>
      <c r="CF46" s="1"/>
      <c r="CG46" s="1"/>
      <c r="CH46" s="1"/>
      <c r="CI46" s="1"/>
      <c r="CJ46" s="1"/>
      <c r="CK46" s="1"/>
      <c r="CL46" s="1"/>
      <c r="CM46" s="1"/>
      <c r="CN46" s="1"/>
      <c r="CO46" s="1"/>
      <c r="CP46" s="1"/>
      <c r="CQ46" s="1"/>
      <c r="CR46" s="1"/>
      <c r="CS46" s="1"/>
      <c r="CT46" s="1"/>
      <c r="CU46" s="1"/>
      <c r="CV46" s="1"/>
      <c r="CW46" s="1"/>
      <c r="CX46" s="2"/>
      <c r="CY46" s="2"/>
      <c r="CZ46" s="2"/>
      <c r="DA46" s="2"/>
      <c r="DB46" s="2"/>
      <c r="DC46" s="2"/>
      <c r="DD46" s="2"/>
      <c r="DE46" s="2"/>
      <c r="DF46" s="2"/>
      <c r="DG46" s="2"/>
      <c r="DH46" s="2"/>
      <c r="DI46" s="2"/>
      <c r="DJ46" s="2"/>
      <c r="DK46" s="2"/>
      <c r="DL46" s="2"/>
      <c r="DM46" s="2"/>
      <c r="DN46" s="2"/>
      <c r="DO46" s="2"/>
      <c r="DP46" s="2"/>
      <c r="DQ46" s="2"/>
      <c r="DR46" s="2"/>
      <c r="DS46" s="1"/>
      <c r="DT46" s="1"/>
      <c r="DU46" s="1"/>
      <c r="DV46" s="1"/>
      <c r="DW46" s="1"/>
      <c r="DX46" s="1"/>
      <c r="DY46" s="1"/>
      <c r="DZ46" s="1"/>
      <c r="EA46" s="1"/>
      <c r="EB46" s="1"/>
      <c r="EC46" s="2"/>
      <c r="ED46" s="2"/>
    </row>
    <row r="47" spans="1:134" x14ac:dyDescent="0.25">
      <c r="A47" s="1" t="s">
        <v>306</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v>30</v>
      </c>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v>120</v>
      </c>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row>
    <row r="48" spans="1:134" x14ac:dyDescent="0.25">
      <c r="A48" s="1" t="s">
        <v>231</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v>30</v>
      </c>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2"/>
      <c r="BW48" s="2"/>
      <c r="BX48" s="1"/>
      <c r="BY48" s="1"/>
      <c r="BZ48" s="1"/>
      <c r="CA48" s="1"/>
      <c r="CB48" s="1"/>
      <c r="CC48" s="1"/>
      <c r="CD48" s="1"/>
      <c r="CE48" s="1"/>
      <c r="CF48" s="1"/>
      <c r="CG48" s="1"/>
      <c r="CH48" s="1"/>
      <c r="CI48" s="1"/>
      <c r="CJ48" s="1">
        <v>200</v>
      </c>
      <c r="CK48" s="1"/>
      <c r="CL48" s="1"/>
      <c r="CM48" s="1"/>
      <c r="CN48" s="1"/>
      <c r="CO48" s="1"/>
      <c r="CP48" s="1"/>
      <c r="CQ48" s="1"/>
      <c r="CR48" s="1"/>
      <c r="CS48" s="1"/>
      <c r="CT48" s="1"/>
      <c r="CU48" s="1"/>
      <c r="CV48" s="1"/>
      <c r="CW48" s="1"/>
      <c r="CX48" s="2"/>
      <c r="CY48" s="2"/>
      <c r="CZ48" s="2"/>
      <c r="DA48" s="2"/>
      <c r="DB48" s="2"/>
      <c r="DC48" s="2"/>
      <c r="DD48" s="2"/>
      <c r="DE48" s="2"/>
      <c r="DF48" s="2"/>
      <c r="DG48" s="2"/>
      <c r="DH48" s="2"/>
      <c r="DI48" s="2"/>
      <c r="DJ48" s="2"/>
      <c r="DK48" s="2"/>
      <c r="DL48" s="2"/>
      <c r="DM48" s="2"/>
      <c r="DN48" s="2"/>
      <c r="DO48" s="2"/>
      <c r="DP48" s="2"/>
      <c r="DQ48" s="2"/>
      <c r="DR48" s="2"/>
      <c r="DS48" s="1"/>
      <c r="DT48" s="1"/>
      <c r="DU48" s="1"/>
      <c r="DV48" s="1"/>
      <c r="DW48" s="1"/>
      <c r="DX48" s="1"/>
      <c r="DY48" s="1"/>
      <c r="DZ48" s="1"/>
      <c r="EA48" s="1"/>
      <c r="EB48" s="1"/>
      <c r="EC48" s="2"/>
      <c r="ED48" s="2"/>
    </row>
    <row r="49" spans="1:134" x14ac:dyDescent="0.25">
      <c r="A49" s="1" t="s">
        <v>300</v>
      </c>
      <c r="B49" s="1" t="s">
        <v>303</v>
      </c>
      <c r="C49" s="2" t="s">
        <v>63</v>
      </c>
      <c r="D49" s="2">
        <v>400</v>
      </c>
      <c r="E49" s="2">
        <v>160</v>
      </c>
      <c r="F49" s="2" t="s">
        <v>59</v>
      </c>
      <c r="G49" s="2">
        <v>240</v>
      </c>
      <c r="H49" s="2">
        <f t="shared" si="1"/>
        <v>195</v>
      </c>
      <c r="I49" s="1"/>
      <c r="J49" s="1"/>
      <c r="K49" s="1"/>
      <c r="L49" s="1"/>
      <c r="M49" s="1"/>
      <c r="N49" s="1"/>
      <c r="O49" s="1"/>
      <c r="P49" s="1"/>
      <c r="Q49" s="1"/>
      <c r="R49" s="1"/>
      <c r="S49" s="1"/>
      <c r="T49" s="1"/>
      <c r="U49" s="1"/>
      <c r="V49" s="1">
        <v>60</v>
      </c>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v>15</v>
      </c>
      <c r="AZ49" s="1">
        <v>60</v>
      </c>
      <c r="BA49" s="1"/>
      <c r="BB49" s="1"/>
      <c r="BC49" s="1"/>
      <c r="BD49" s="1"/>
      <c r="BE49" s="1"/>
      <c r="BF49" s="1"/>
      <c r="BG49" s="1"/>
      <c r="BH49" s="1"/>
      <c r="BI49" s="1"/>
      <c r="BJ49" s="1"/>
      <c r="BK49" s="1"/>
      <c r="BL49" s="1"/>
      <c r="BM49" s="1"/>
      <c r="BN49" s="1"/>
      <c r="BO49" s="1"/>
      <c r="BP49" s="1"/>
      <c r="BQ49" s="1"/>
      <c r="BR49" s="1"/>
      <c r="BS49" s="1"/>
      <c r="BT49" s="1"/>
      <c r="BU49" s="1"/>
      <c r="BV49" s="2"/>
      <c r="BW49" s="2"/>
      <c r="BX49" s="1"/>
      <c r="BY49" s="1"/>
      <c r="BZ49" s="1">
        <v>30</v>
      </c>
      <c r="CA49" s="1"/>
      <c r="CB49" s="1"/>
      <c r="CC49" s="1"/>
      <c r="CD49" s="1"/>
      <c r="CE49" s="1"/>
      <c r="CF49" s="1"/>
      <c r="CG49" s="1"/>
      <c r="CH49" s="1"/>
      <c r="CI49" s="1"/>
      <c r="CJ49" s="1"/>
      <c r="CK49" s="1"/>
      <c r="CL49" s="1"/>
      <c r="CM49" s="1"/>
      <c r="CN49" s="1"/>
      <c r="CO49" s="1">
        <v>30</v>
      </c>
      <c r="CP49" s="1"/>
      <c r="CQ49" s="1"/>
      <c r="CR49" s="1"/>
      <c r="CS49" s="1"/>
      <c r="CT49" s="1"/>
      <c r="CU49" s="1"/>
      <c r="CV49" s="1"/>
      <c r="CW49" s="1"/>
      <c r="CX49" s="2"/>
      <c r="CY49" s="2"/>
      <c r="CZ49" s="2"/>
      <c r="DA49" s="2"/>
      <c r="DB49" s="2"/>
      <c r="DC49" s="2"/>
      <c r="DD49" s="2"/>
      <c r="DE49" s="2"/>
      <c r="DF49" s="2"/>
      <c r="DG49" s="2"/>
      <c r="DH49" s="2"/>
      <c r="DI49" s="2"/>
      <c r="DJ49" s="2"/>
      <c r="DK49" s="2"/>
      <c r="DL49" s="2"/>
      <c r="DM49" s="2"/>
      <c r="DN49" s="2"/>
      <c r="DO49" s="2"/>
      <c r="DP49" s="2"/>
      <c r="DQ49" s="2"/>
      <c r="DR49" s="2"/>
      <c r="DS49" s="1"/>
      <c r="DT49" s="1"/>
      <c r="DU49" s="1"/>
      <c r="DV49" s="1"/>
      <c r="DW49" s="1"/>
      <c r="DX49" s="1"/>
      <c r="DY49" s="1"/>
      <c r="DZ49" s="1"/>
      <c r="EA49" s="1"/>
      <c r="EB49" s="1"/>
      <c r="EC49" s="2"/>
      <c r="ED49" s="2"/>
    </row>
    <row r="50" spans="1:134" x14ac:dyDescent="0.25">
      <c r="A50" s="1" t="s">
        <v>489</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v>90</v>
      </c>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v>90</v>
      </c>
      <c r="BA50" s="1"/>
      <c r="BB50" s="1"/>
      <c r="BC50" s="1"/>
      <c r="BD50" s="1"/>
      <c r="BE50" s="1"/>
      <c r="BF50" s="1"/>
      <c r="BG50" s="1"/>
      <c r="BH50" s="1"/>
      <c r="BI50" s="1"/>
      <c r="BJ50" s="1"/>
      <c r="BK50" s="1"/>
      <c r="BL50" s="1"/>
      <c r="BM50" s="1"/>
      <c r="BN50" s="1"/>
      <c r="BO50" s="1"/>
      <c r="BP50" s="1"/>
      <c r="BQ50" s="1"/>
      <c r="BR50" s="1"/>
      <c r="BS50" s="1"/>
      <c r="BT50" s="1"/>
      <c r="BU50" s="1"/>
      <c r="BV50" s="2"/>
      <c r="BW50" s="2"/>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2"/>
      <c r="CY50" s="2"/>
      <c r="CZ50" s="2"/>
      <c r="DA50" s="2"/>
      <c r="DB50" s="2"/>
      <c r="DC50" s="2"/>
      <c r="DD50" s="2"/>
      <c r="DE50" s="2"/>
      <c r="DF50" s="2"/>
      <c r="DG50" s="2"/>
      <c r="DH50" s="2"/>
      <c r="DI50" s="2"/>
      <c r="DJ50" s="2"/>
      <c r="DK50" s="2"/>
      <c r="DL50" s="2"/>
      <c r="DM50" s="2"/>
      <c r="DN50" s="2"/>
      <c r="DO50" s="2">
        <v>1</v>
      </c>
      <c r="DP50" s="2"/>
      <c r="DQ50" s="2"/>
      <c r="DR50" s="2">
        <v>1</v>
      </c>
      <c r="DS50" s="1"/>
      <c r="DT50" s="1"/>
      <c r="DU50" s="1"/>
      <c r="DV50" s="1"/>
      <c r="DW50" s="1"/>
      <c r="DX50" s="1"/>
      <c r="DY50" s="1"/>
      <c r="DZ50" s="1"/>
      <c r="EA50" s="1"/>
      <c r="EB50" s="1"/>
      <c r="EC50" s="2"/>
      <c r="ED50" s="2"/>
    </row>
    <row r="51" spans="1:134" x14ac:dyDescent="0.25">
      <c r="A51" s="1" t="s">
        <v>502</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v>30</v>
      </c>
      <c r="AU51" s="1"/>
      <c r="AV51" s="1"/>
      <c r="AW51" s="1"/>
      <c r="AX51" s="1"/>
      <c r="AY51" s="1"/>
      <c r="AZ51" s="1"/>
      <c r="BA51" s="1"/>
      <c r="BB51" s="1"/>
      <c r="BC51" s="1"/>
      <c r="BD51" s="1"/>
      <c r="BE51" s="1"/>
      <c r="BF51" s="1"/>
      <c r="BG51" s="1"/>
      <c r="BH51" s="1"/>
      <c r="BI51" s="1"/>
      <c r="BJ51" s="1"/>
      <c r="BK51" s="1"/>
      <c r="BL51" s="1"/>
      <c r="BM51" s="1"/>
      <c r="BN51" s="1"/>
      <c r="BO51" s="1"/>
      <c r="BP51" s="1"/>
      <c r="BQ51" s="1"/>
      <c r="BR51" s="1"/>
      <c r="BS51" s="1">
        <v>30</v>
      </c>
      <c r="BT51" s="1"/>
      <c r="BU51" s="1"/>
      <c r="BV51" s="2"/>
      <c r="BW51" s="2"/>
      <c r="BX51" s="1"/>
      <c r="BY51" s="1"/>
      <c r="BZ51" s="1">
        <v>15</v>
      </c>
      <c r="CA51" s="1"/>
      <c r="CB51" s="1"/>
      <c r="CC51" s="1"/>
      <c r="CD51" s="1"/>
      <c r="CE51" s="1"/>
      <c r="CF51" s="1"/>
      <c r="CG51" s="1"/>
      <c r="CH51" s="1"/>
      <c r="CI51" s="1"/>
      <c r="CJ51" s="1"/>
      <c r="CK51" s="1"/>
      <c r="CL51" s="1"/>
      <c r="CM51" s="1"/>
      <c r="CN51" s="1"/>
      <c r="CO51" s="1"/>
      <c r="CP51" s="1"/>
      <c r="CQ51" s="1"/>
      <c r="CR51" s="1"/>
      <c r="CS51" s="1"/>
      <c r="CT51" s="1"/>
      <c r="CU51" s="1"/>
      <c r="CV51" s="1"/>
      <c r="CW51" s="1"/>
      <c r="CX51" s="2"/>
      <c r="CY51" s="2"/>
      <c r="CZ51" s="2"/>
      <c r="DA51" s="2"/>
      <c r="DB51" s="2"/>
      <c r="DC51" s="2"/>
      <c r="DD51" s="2"/>
      <c r="DE51" s="2"/>
      <c r="DF51" s="2"/>
      <c r="DG51" s="2"/>
      <c r="DH51" s="2"/>
      <c r="DI51" s="2"/>
      <c r="DJ51" s="2"/>
      <c r="DK51" s="2"/>
      <c r="DL51" s="2"/>
      <c r="DM51" s="2"/>
      <c r="DN51" s="2"/>
      <c r="DO51" s="2"/>
      <c r="DP51" s="2"/>
      <c r="DQ51" s="2"/>
      <c r="DR51" s="2"/>
      <c r="DS51" s="1"/>
      <c r="DT51" s="1"/>
      <c r="DU51" s="1"/>
      <c r="DV51" s="1"/>
      <c r="DW51" s="1"/>
      <c r="DX51" s="1"/>
      <c r="DY51" s="1"/>
      <c r="DZ51" s="1"/>
      <c r="EA51" s="1"/>
      <c r="EB51" s="1"/>
      <c r="EC51" s="2"/>
      <c r="ED51" s="2"/>
    </row>
    <row r="52" spans="1:134" x14ac:dyDescent="0.25">
      <c r="A52" s="1" t="s">
        <v>197</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v>15</v>
      </c>
      <c r="AS52" s="1"/>
      <c r="AT52" s="1"/>
      <c r="AU52" s="1"/>
      <c r="AV52" s="1"/>
      <c r="AW52" s="1"/>
      <c r="AX52" s="1"/>
      <c r="AY52" s="1">
        <v>30</v>
      </c>
      <c r="AZ52" s="1"/>
      <c r="BA52" s="1"/>
      <c r="BB52" s="1"/>
      <c r="BC52" s="1"/>
      <c r="BD52" s="1"/>
      <c r="BE52" s="1"/>
      <c r="BF52" s="1"/>
      <c r="BG52" s="1"/>
      <c r="BH52" s="1"/>
      <c r="BI52" s="1"/>
      <c r="BJ52" s="1"/>
      <c r="BK52" s="1"/>
      <c r="BL52" s="1"/>
      <c r="BM52" s="1"/>
      <c r="BN52" s="1">
        <v>30</v>
      </c>
      <c r="BO52" s="1"/>
      <c r="BP52" s="1"/>
      <c r="BQ52" s="1"/>
      <c r="BR52" s="1"/>
      <c r="BS52" s="1"/>
      <c r="BT52" s="1"/>
      <c r="BU52" s="1"/>
      <c r="BV52" s="2"/>
      <c r="BW52" s="2"/>
      <c r="BX52" s="1"/>
      <c r="BY52" s="1"/>
      <c r="BZ52" s="1"/>
      <c r="CA52" s="1"/>
      <c r="CB52" s="1"/>
      <c r="CC52" s="1">
        <v>15</v>
      </c>
      <c r="CD52" s="1"/>
      <c r="CE52" s="1"/>
      <c r="CF52" s="1"/>
      <c r="CG52" s="1"/>
      <c r="CH52" s="1"/>
      <c r="CI52" s="1"/>
      <c r="CJ52" s="1"/>
      <c r="CK52" s="1"/>
      <c r="CL52" s="1"/>
      <c r="CM52" s="1"/>
      <c r="CN52" s="1"/>
      <c r="CO52" s="1"/>
      <c r="CP52" s="1"/>
      <c r="CQ52" s="1"/>
      <c r="CR52" s="1"/>
      <c r="CS52" s="1"/>
      <c r="CT52" s="1">
        <v>30</v>
      </c>
      <c r="CU52" s="1"/>
      <c r="CV52" s="1"/>
      <c r="CW52" s="1"/>
      <c r="CX52" s="2"/>
      <c r="CY52" s="2"/>
      <c r="CZ52" s="2"/>
      <c r="DA52" s="2"/>
      <c r="DB52" s="2"/>
      <c r="DC52" s="2"/>
      <c r="DD52" s="2"/>
      <c r="DE52" s="2"/>
      <c r="DF52" s="2"/>
      <c r="DG52" s="2"/>
      <c r="DH52" s="2"/>
      <c r="DI52" s="2"/>
      <c r="DJ52" s="2"/>
      <c r="DK52" s="2"/>
      <c r="DL52" s="2"/>
      <c r="DM52" s="2"/>
      <c r="DN52" s="2"/>
      <c r="DO52" s="2"/>
      <c r="DP52" s="2"/>
      <c r="DQ52" s="2"/>
      <c r="DR52" s="2"/>
      <c r="DS52" s="1"/>
      <c r="DT52" s="1"/>
      <c r="DU52" s="1"/>
      <c r="DV52" s="1"/>
      <c r="DW52" s="1"/>
      <c r="DX52" s="1"/>
      <c r="DY52" s="1"/>
      <c r="DZ52" s="1"/>
      <c r="EA52" s="1"/>
      <c r="EB52" s="1"/>
      <c r="EC52" s="2"/>
      <c r="ED52" s="2"/>
    </row>
    <row r="53" spans="1:134" x14ac:dyDescent="0.25">
      <c r="A53" s="1" t="s">
        <v>390</v>
      </c>
      <c r="B53" s="1" t="s">
        <v>56</v>
      </c>
      <c r="C53" s="2" t="s">
        <v>63</v>
      </c>
      <c r="D53" s="2">
        <v>500</v>
      </c>
      <c r="E53" s="2"/>
      <c r="F53" s="2" t="s">
        <v>60</v>
      </c>
      <c r="G53" s="2"/>
      <c r="H53" s="2">
        <f t="shared" si="1"/>
        <v>480</v>
      </c>
      <c r="I53" s="1"/>
      <c r="J53" s="1"/>
      <c r="K53" s="1"/>
      <c r="L53" s="1"/>
      <c r="M53" s="1"/>
      <c r="N53" s="1"/>
      <c r="O53" s="1"/>
      <c r="P53" s="1"/>
      <c r="Q53" s="1"/>
      <c r="R53" s="1"/>
      <c r="S53" s="1"/>
      <c r="T53" s="1"/>
      <c r="U53" s="1">
        <v>240</v>
      </c>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2"/>
      <c r="BW53" s="2"/>
      <c r="BX53" s="1"/>
      <c r="BY53" s="1"/>
      <c r="BZ53" s="1"/>
      <c r="CA53" s="1"/>
      <c r="CB53" s="1"/>
      <c r="CC53" s="1"/>
      <c r="CD53" s="1"/>
      <c r="CE53" s="1"/>
      <c r="CF53" s="1"/>
      <c r="CG53" s="1"/>
      <c r="CH53" s="1"/>
      <c r="CI53" s="1"/>
      <c r="CJ53" s="1"/>
      <c r="CK53" s="1"/>
      <c r="CL53" s="1"/>
      <c r="CM53" s="1"/>
      <c r="CN53" s="1">
        <v>240</v>
      </c>
      <c r="CO53" s="1"/>
      <c r="CP53" s="1"/>
      <c r="CQ53" s="1"/>
      <c r="CR53" s="1"/>
      <c r="CS53" s="1"/>
      <c r="CT53" s="1"/>
      <c r="CU53" s="1"/>
      <c r="CV53" s="1"/>
      <c r="CW53" s="1"/>
      <c r="CX53" s="2"/>
      <c r="CY53" s="2"/>
      <c r="CZ53" s="2"/>
      <c r="DA53" s="2"/>
      <c r="DB53" s="2"/>
      <c r="DC53" s="2"/>
      <c r="DD53" s="2"/>
      <c r="DE53" s="2"/>
      <c r="DF53" s="2"/>
      <c r="DG53" s="2"/>
      <c r="DH53" s="2"/>
      <c r="DI53" s="2"/>
      <c r="DJ53" s="2"/>
      <c r="DK53" s="2"/>
      <c r="DL53" s="2"/>
      <c r="DM53" s="2"/>
      <c r="DN53" s="2"/>
      <c r="DO53" s="2"/>
      <c r="DP53" s="2"/>
      <c r="DQ53" s="2"/>
      <c r="DR53" s="2"/>
      <c r="DS53" s="1"/>
      <c r="DT53" s="1"/>
      <c r="DU53" s="1"/>
      <c r="DV53" s="1"/>
      <c r="DW53" s="1"/>
      <c r="DX53" s="1"/>
      <c r="DY53" s="1"/>
      <c r="DZ53" s="1"/>
      <c r="EA53" s="1"/>
      <c r="EB53" s="1"/>
      <c r="EC53" s="2"/>
      <c r="ED53" s="2"/>
    </row>
    <row r="54" spans="1:134" x14ac:dyDescent="0.25">
      <c r="A54" s="1" t="s">
        <v>283</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v>90</v>
      </c>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v>15</v>
      </c>
      <c r="AZ54" s="1"/>
      <c r="BA54" s="1"/>
      <c r="BB54" s="1"/>
      <c r="BC54" s="1"/>
      <c r="BD54" s="1"/>
      <c r="BE54" s="1"/>
      <c r="BF54" s="1"/>
      <c r="BG54" s="1"/>
      <c r="BH54" s="1"/>
      <c r="BI54" s="1"/>
      <c r="BJ54" s="1"/>
      <c r="BK54" s="1"/>
      <c r="BL54" s="1"/>
      <c r="BM54" s="1"/>
      <c r="BN54" s="1"/>
      <c r="BO54" s="1"/>
      <c r="BP54" s="1"/>
      <c r="BQ54" s="1"/>
      <c r="BR54" s="1">
        <v>90</v>
      </c>
      <c r="BS54" s="1"/>
      <c r="BT54" s="1"/>
      <c r="BU54" s="1"/>
      <c r="BV54" s="2"/>
      <c r="BW54" s="2"/>
      <c r="BX54" s="1"/>
      <c r="BY54" s="1"/>
      <c r="BZ54" s="1">
        <v>30</v>
      </c>
      <c r="CA54" s="1"/>
      <c r="CB54" s="1"/>
      <c r="CC54" s="1"/>
      <c r="CD54" s="1"/>
      <c r="CE54" s="1"/>
      <c r="CF54" s="1"/>
      <c r="CG54" s="1"/>
      <c r="CH54" s="1"/>
      <c r="CI54" s="1"/>
      <c r="CJ54" s="1"/>
      <c r="CK54" s="1"/>
      <c r="CL54" s="1"/>
      <c r="CM54" s="1"/>
      <c r="CN54" s="1"/>
      <c r="CO54" s="1"/>
      <c r="CP54" s="1"/>
      <c r="CQ54" s="1"/>
      <c r="CR54" s="1"/>
      <c r="CS54" s="1"/>
      <c r="CT54" s="1"/>
      <c r="CU54" s="1"/>
      <c r="CV54" s="1"/>
      <c r="CW54" s="1"/>
      <c r="CX54" s="2"/>
      <c r="CY54" s="2"/>
      <c r="CZ54" s="2"/>
      <c r="DA54" s="2"/>
      <c r="DB54" s="2"/>
      <c r="DC54" s="2"/>
      <c r="DD54" s="2"/>
      <c r="DE54" s="2"/>
      <c r="DF54" s="2"/>
      <c r="DG54" s="2"/>
      <c r="DH54" s="2"/>
      <c r="DI54" s="2"/>
      <c r="DJ54" s="2"/>
      <c r="DK54" s="2"/>
      <c r="DL54" s="2"/>
      <c r="DM54" s="2"/>
      <c r="DN54" s="2"/>
      <c r="DO54" s="2"/>
      <c r="DP54" s="2"/>
      <c r="DQ54" s="2"/>
      <c r="DR54" s="2"/>
      <c r="DS54" s="1"/>
      <c r="DT54" s="1"/>
      <c r="DU54" s="1"/>
      <c r="DV54" s="1"/>
      <c r="DW54" s="1"/>
      <c r="DX54" s="1"/>
      <c r="DY54" s="1"/>
      <c r="DZ54" s="1"/>
      <c r="EA54" s="1"/>
      <c r="EB54" s="1"/>
      <c r="EC54" s="2"/>
      <c r="ED54" s="2"/>
    </row>
    <row r="55" spans="1:134"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v>30</v>
      </c>
      <c r="AZ55" s="2"/>
      <c r="BA55" s="2"/>
      <c r="BB55" s="2"/>
      <c r="BC55" s="2"/>
      <c r="BD55" s="2"/>
      <c r="BE55" s="2"/>
      <c r="BF55" s="2"/>
      <c r="BG55" s="2"/>
      <c r="BH55" s="2"/>
      <c r="BI55" s="2"/>
      <c r="BJ55" s="2">
        <v>30</v>
      </c>
      <c r="BK55" s="2"/>
      <c r="BL55" s="2"/>
      <c r="BM55" s="2"/>
      <c r="BN55" s="2">
        <v>30</v>
      </c>
      <c r="BO55" s="2"/>
      <c r="BP55" s="2"/>
      <c r="BQ55" s="2"/>
      <c r="BR55" s="2"/>
      <c r="BS55" s="2"/>
      <c r="BT55" s="2"/>
      <c r="BU55" s="2"/>
      <c r="BV55" s="2"/>
      <c r="BW55" s="2"/>
      <c r="BX55" s="2"/>
      <c r="BY55" s="2"/>
      <c r="BZ55" s="2">
        <v>30</v>
      </c>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row>
    <row r="56" spans="1:134" x14ac:dyDescent="0.25">
      <c r="A56" s="1" t="s">
        <v>402</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v>60</v>
      </c>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v>120</v>
      </c>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row>
    <row r="57" spans="1:134" x14ac:dyDescent="0.25">
      <c r="A57" s="1" t="s">
        <v>156</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v>60</v>
      </c>
      <c r="AB57" s="1"/>
      <c r="AC57" s="1"/>
      <c r="AD57" s="1"/>
      <c r="AE57" s="1"/>
      <c r="AF57" s="1"/>
      <c r="AG57" s="1"/>
      <c r="AH57" s="1"/>
      <c r="AI57" s="1"/>
      <c r="AJ57" s="1"/>
      <c r="AK57" s="1"/>
      <c r="AL57" s="1"/>
      <c r="AM57" s="1"/>
      <c r="AN57" s="1"/>
      <c r="AO57" s="1">
        <v>30</v>
      </c>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2"/>
      <c r="BW57" s="2"/>
      <c r="BX57" s="1"/>
      <c r="BY57" s="1"/>
      <c r="BZ57" s="1"/>
      <c r="CA57" s="1"/>
      <c r="CB57" s="1"/>
      <c r="CC57" s="1"/>
      <c r="CD57" s="1"/>
      <c r="CE57" s="1"/>
      <c r="CF57" s="1"/>
      <c r="CG57" s="1"/>
      <c r="CH57" s="1"/>
      <c r="CI57" s="1"/>
      <c r="CJ57" s="1"/>
      <c r="CK57" s="1"/>
      <c r="CL57" s="1"/>
      <c r="CM57" s="1"/>
      <c r="CN57" s="1"/>
      <c r="CO57" s="1"/>
      <c r="CP57" s="1"/>
      <c r="CQ57" s="1"/>
      <c r="CR57" s="1"/>
      <c r="CS57" s="1"/>
      <c r="CT57" s="1">
        <v>60</v>
      </c>
      <c r="CU57" s="1"/>
      <c r="CV57" s="1"/>
      <c r="CW57" s="1"/>
      <c r="CX57" s="2"/>
      <c r="CY57" s="2"/>
      <c r="CZ57" s="2"/>
      <c r="DA57" s="2"/>
      <c r="DB57" s="2"/>
      <c r="DC57" s="2"/>
      <c r="DD57" s="2"/>
      <c r="DE57" s="2"/>
      <c r="DF57" s="2"/>
      <c r="DG57" s="2"/>
      <c r="DH57" s="2"/>
      <c r="DI57" s="2"/>
      <c r="DJ57" s="2"/>
      <c r="DK57" s="2"/>
      <c r="DL57" s="2"/>
      <c r="DM57" s="2"/>
      <c r="DN57" s="2"/>
      <c r="DO57" s="2"/>
      <c r="DP57" s="2"/>
      <c r="DQ57" s="2"/>
      <c r="DR57" s="2"/>
      <c r="DS57" s="1"/>
      <c r="DT57" s="1"/>
      <c r="DU57" s="1"/>
      <c r="DV57" s="1"/>
      <c r="DW57" s="1"/>
      <c r="DX57" s="1"/>
      <c r="DY57" s="1"/>
      <c r="DZ57" s="1"/>
      <c r="EA57" s="1"/>
      <c r="EB57" s="1"/>
      <c r="EC57" s="2"/>
      <c r="ED57" s="2"/>
    </row>
    <row r="58" spans="1:134"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v>30</v>
      </c>
      <c r="AN58" s="2"/>
      <c r="AO58" s="2"/>
      <c r="AP58" s="2"/>
      <c r="AQ58" s="2"/>
      <c r="AR58" s="2"/>
      <c r="AS58" s="2"/>
      <c r="AT58" s="2"/>
      <c r="AU58" s="2"/>
      <c r="AV58" s="2"/>
      <c r="AW58" s="2"/>
      <c r="AX58" s="2"/>
      <c r="AY58" s="2">
        <v>30</v>
      </c>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v>15</v>
      </c>
      <c r="CA58" s="2"/>
      <c r="CB58" s="2"/>
      <c r="CC58" s="2"/>
      <c r="CD58" s="2"/>
      <c r="CE58" s="2"/>
      <c r="CF58" s="2"/>
      <c r="CG58" s="2"/>
      <c r="CH58" s="2"/>
      <c r="CI58" s="2"/>
      <c r="CJ58" s="2"/>
      <c r="CK58" s="2"/>
      <c r="CL58" s="2"/>
      <c r="CM58" s="2"/>
      <c r="CN58" s="2"/>
      <c r="CO58" s="2"/>
      <c r="CP58" s="2"/>
      <c r="CQ58" s="2"/>
      <c r="CR58" s="2">
        <v>15</v>
      </c>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v>1</v>
      </c>
      <c r="DT58" s="2"/>
      <c r="DU58" s="2"/>
      <c r="DV58" s="2"/>
      <c r="DW58" s="2"/>
      <c r="DX58" s="2"/>
      <c r="DY58" s="2"/>
      <c r="DZ58" s="2"/>
      <c r="EA58" s="2"/>
      <c r="EB58" s="2"/>
      <c r="EC58" s="2"/>
      <c r="ED58" s="2"/>
    </row>
    <row r="59" spans="1:134" x14ac:dyDescent="0.25">
      <c r="A59" s="1" t="s">
        <v>361</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v>60</v>
      </c>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v>15</v>
      </c>
      <c r="AZ59" s="1"/>
      <c r="BA59" s="1"/>
      <c r="BB59" s="1"/>
      <c r="BC59" s="1"/>
      <c r="BD59" s="1"/>
      <c r="BE59" s="1"/>
      <c r="BF59" s="1"/>
      <c r="BG59" s="1"/>
      <c r="BH59" s="1"/>
      <c r="BI59" s="1"/>
      <c r="BJ59" s="1"/>
      <c r="BK59" s="1"/>
      <c r="BL59" s="1"/>
      <c r="BM59" s="1"/>
      <c r="BN59" s="1"/>
      <c r="BO59" s="1"/>
      <c r="BP59" s="1"/>
      <c r="BQ59" s="1"/>
      <c r="BR59" s="1"/>
      <c r="BS59" s="1"/>
      <c r="BT59" s="1"/>
      <c r="BU59" s="1"/>
      <c r="BV59" s="2"/>
      <c r="BW59" s="2"/>
      <c r="BX59" s="1"/>
      <c r="BY59" s="1"/>
      <c r="BZ59" s="1">
        <v>15</v>
      </c>
      <c r="CA59" s="1"/>
      <c r="CB59" s="1"/>
      <c r="CC59" s="1"/>
      <c r="CD59" s="1"/>
      <c r="CE59" s="1"/>
      <c r="CF59" s="1"/>
      <c r="CG59" s="1"/>
      <c r="CH59" s="1"/>
      <c r="CI59" s="1"/>
      <c r="CJ59" s="1"/>
      <c r="CK59" s="1"/>
      <c r="CL59" s="1"/>
      <c r="CM59" s="1"/>
      <c r="CN59" s="1"/>
      <c r="CO59" s="1"/>
      <c r="CP59" s="1"/>
      <c r="CQ59" s="1"/>
      <c r="CR59" s="1"/>
      <c r="CS59" s="1"/>
      <c r="CT59" s="1"/>
      <c r="CU59" s="1"/>
      <c r="CV59" s="1"/>
      <c r="CW59" s="1"/>
      <c r="CX59" s="2"/>
      <c r="CY59" s="2"/>
      <c r="CZ59" s="2"/>
      <c r="DA59" s="2"/>
      <c r="DB59" s="2"/>
      <c r="DC59" s="2"/>
      <c r="DD59" s="2"/>
      <c r="DE59" s="2"/>
      <c r="DF59" s="2"/>
      <c r="DG59" s="2"/>
      <c r="DH59" s="2"/>
      <c r="DI59" s="2"/>
      <c r="DJ59" s="2"/>
      <c r="DK59" s="2"/>
      <c r="DL59" s="2"/>
      <c r="DM59" s="2"/>
      <c r="DN59" s="2"/>
      <c r="DO59" s="2"/>
      <c r="DP59" s="2"/>
      <c r="DQ59" s="2"/>
      <c r="DR59" s="2"/>
      <c r="DS59" s="1"/>
      <c r="DT59" s="1"/>
      <c r="DU59" s="1"/>
      <c r="DV59" s="1"/>
      <c r="DW59" s="1"/>
      <c r="DX59" s="1"/>
      <c r="DY59" s="1"/>
      <c r="DZ59" s="1"/>
      <c r="EA59" s="1"/>
      <c r="EB59" s="1"/>
      <c r="EC59" s="2"/>
      <c r="ED59" s="2"/>
    </row>
    <row r="60" spans="1:134" x14ac:dyDescent="0.25">
      <c r="A60" s="1" t="s">
        <v>246</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v>45</v>
      </c>
      <c r="AG60" s="1"/>
      <c r="AH60" s="1"/>
      <c r="AI60" s="1"/>
      <c r="AJ60" s="1"/>
      <c r="AK60" s="1"/>
      <c r="AL60" s="1"/>
      <c r="AM60" s="1"/>
      <c r="AN60" s="1"/>
      <c r="AO60" s="1"/>
      <c r="AP60" s="1"/>
      <c r="AQ60" s="1"/>
      <c r="AR60" s="1"/>
      <c r="AS60" s="1"/>
      <c r="AT60" s="1"/>
      <c r="AU60" s="1"/>
      <c r="AV60" s="1"/>
      <c r="AW60" s="1"/>
      <c r="AX60" s="1"/>
      <c r="AY60" s="1"/>
      <c r="AZ60" s="1">
        <v>120</v>
      </c>
      <c r="BA60" s="1"/>
      <c r="BB60" s="1"/>
      <c r="BC60" s="1"/>
      <c r="BD60" s="1"/>
      <c r="BE60" s="1"/>
      <c r="BF60" s="1"/>
      <c r="BG60" s="1"/>
      <c r="BH60" s="1"/>
      <c r="BI60" s="1"/>
      <c r="BJ60" s="1"/>
      <c r="BK60" s="1"/>
      <c r="BL60" s="1"/>
      <c r="BM60" s="1"/>
      <c r="BN60" s="1"/>
      <c r="BO60" s="1"/>
      <c r="BP60" s="1"/>
      <c r="BQ60" s="1"/>
      <c r="BR60" s="1"/>
      <c r="BS60" s="1"/>
      <c r="BT60" s="1"/>
      <c r="BU60" s="1"/>
      <c r="BV60" s="2"/>
      <c r="BW60" s="2"/>
      <c r="BX60" s="1"/>
      <c r="BY60" s="1"/>
      <c r="BZ60" s="1">
        <v>15</v>
      </c>
      <c r="CA60" s="1"/>
      <c r="CB60" s="1"/>
      <c r="CC60" s="1"/>
      <c r="CD60" s="1"/>
      <c r="CE60" s="1"/>
      <c r="CF60" s="1"/>
      <c r="CG60" s="1"/>
      <c r="CH60" s="1"/>
      <c r="CI60" s="1"/>
      <c r="CJ60" s="1"/>
      <c r="CK60" s="1"/>
      <c r="CL60" s="1"/>
      <c r="CM60" s="1"/>
      <c r="CN60" s="1"/>
      <c r="CO60" s="1"/>
      <c r="CP60" s="1"/>
      <c r="CQ60" s="1"/>
      <c r="CR60" s="1"/>
      <c r="CS60" s="1"/>
      <c r="CT60" s="1"/>
      <c r="CU60" s="1"/>
      <c r="CV60" s="1"/>
      <c r="CW60" s="1"/>
      <c r="CX60" s="2"/>
      <c r="CY60" s="2"/>
      <c r="CZ60" s="2"/>
      <c r="DA60" s="2"/>
      <c r="DB60" s="2"/>
      <c r="DC60" s="2"/>
      <c r="DD60" s="2"/>
      <c r="DE60" s="2"/>
      <c r="DF60" s="2"/>
      <c r="DG60" s="2"/>
      <c r="DH60" s="2"/>
      <c r="DI60" s="2"/>
      <c r="DJ60" s="2"/>
      <c r="DK60" s="2"/>
      <c r="DL60" s="2"/>
      <c r="DM60" s="2"/>
      <c r="DN60" s="2"/>
      <c r="DO60" s="2"/>
      <c r="DP60" s="2"/>
      <c r="DQ60" s="2"/>
      <c r="DR60" s="2"/>
      <c r="DS60" s="1"/>
      <c r="DT60" s="1"/>
      <c r="DU60" s="1"/>
      <c r="DV60" s="1"/>
      <c r="DW60" s="1"/>
      <c r="DX60" s="1"/>
      <c r="DY60" s="1"/>
      <c r="DZ60" s="1"/>
      <c r="EA60" s="1"/>
      <c r="EB60" s="1"/>
      <c r="EC60" s="2"/>
      <c r="ED60" s="2"/>
    </row>
    <row r="61" spans="1:134"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v>30</v>
      </c>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v>30</v>
      </c>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row>
    <row r="62" spans="1:134"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v>180</v>
      </c>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row>
    <row r="63" spans="1:134"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v>180</v>
      </c>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row>
    <row r="64" spans="1:134" x14ac:dyDescent="0.25">
      <c r="A64" s="1" t="s">
        <v>706</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v>15</v>
      </c>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v>120</v>
      </c>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row>
    <row r="65" spans="1:134"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v>30</v>
      </c>
      <c r="AX65" s="2"/>
      <c r="AY65" s="2">
        <v>15</v>
      </c>
      <c r="AZ65" s="2"/>
      <c r="BA65" s="2">
        <v>75</v>
      </c>
      <c r="BB65" s="2"/>
      <c r="BC65" s="2"/>
      <c r="BD65" s="2"/>
      <c r="BE65" s="2"/>
      <c r="BF65" s="2"/>
      <c r="BG65" s="2"/>
      <c r="BH65" s="2"/>
      <c r="BI65" s="2"/>
      <c r="BJ65" s="2"/>
      <c r="BK65" s="2"/>
      <c r="BL65" s="2"/>
      <c r="BM65" s="2"/>
      <c r="BN65" s="2"/>
      <c r="BO65" s="2"/>
      <c r="BP65" s="2"/>
      <c r="BQ65" s="2"/>
      <c r="BR65" s="2"/>
      <c r="BS65" s="2"/>
      <c r="BT65" s="2"/>
      <c r="BU65" s="2"/>
      <c r="BV65" s="2"/>
      <c r="BW65" s="2"/>
      <c r="BX65" s="2"/>
      <c r="BY65" s="2"/>
      <c r="BZ65" s="2">
        <v>15</v>
      </c>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row>
    <row r="66" spans="1:134" x14ac:dyDescent="0.25">
      <c r="A66" s="1" t="s">
        <v>539</v>
      </c>
      <c r="B66" s="1" t="s">
        <v>49</v>
      </c>
      <c r="C66" s="2" t="s">
        <v>63</v>
      </c>
      <c r="D66" s="2">
        <v>500</v>
      </c>
      <c r="E66" s="2">
        <v>200</v>
      </c>
      <c r="F66" s="2" t="s">
        <v>59</v>
      </c>
      <c r="G66" s="2">
        <v>300</v>
      </c>
      <c r="H66" s="2">
        <f t="shared" ref="H66:H97" si="2">SUM(I66:CW66)</f>
        <v>240</v>
      </c>
      <c r="I66" s="1"/>
      <c r="J66" s="1"/>
      <c r="K66" s="1"/>
      <c r="L66" s="1"/>
      <c r="M66" s="1"/>
      <c r="N66" s="1"/>
      <c r="O66" s="1"/>
      <c r="P66" s="1"/>
      <c r="Q66" s="1"/>
      <c r="R66" s="1"/>
      <c r="S66" s="1"/>
      <c r="T66" s="1"/>
      <c r="U66" s="1"/>
      <c r="V66" s="1"/>
      <c r="W66" s="1"/>
      <c r="X66" s="2">
        <v>135</v>
      </c>
      <c r="Y66" s="2"/>
      <c r="Z66" s="1"/>
      <c r="AA66" s="1"/>
      <c r="AB66" s="1"/>
      <c r="AC66" s="1"/>
      <c r="AD66" s="1"/>
      <c r="AE66" s="1"/>
      <c r="AF66" s="1"/>
      <c r="AG66" s="1"/>
      <c r="AH66" s="1"/>
      <c r="AI66" s="1"/>
      <c r="AJ66" s="1"/>
      <c r="AK66" s="1"/>
      <c r="AL66" s="1"/>
      <c r="AM66" s="1"/>
      <c r="AN66" s="1"/>
      <c r="AO66" s="1"/>
      <c r="AP66" s="1"/>
      <c r="AQ66" s="1"/>
      <c r="AR66" s="1">
        <v>45</v>
      </c>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2"/>
      <c r="BW66" s="2"/>
      <c r="BX66" s="1"/>
      <c r="BY66" s="1"/>
      <c r="BZ66" s="1"/>
      <c r="CA66" s="1"/>
      <c r="CB66" s="1"/>
      <c r="CC66" s="1"/>
      <c r="CD66" s="1"/>
      <c r="CE66" s="1"/>
      <c r="CF66" s="1"/>
      <c r="CG66" s="1"/>
      <c r="CH66" s="1"/>
      <c r="CI66" s="1"/>
      <c r="CJ66" s="1"/>
      <c r="CK66" s="1"/>
      <c r="CL66" s="1"/>
      <c r="CM66" s="1"/>
      <c r="CN66" s="1"/>
      <c r="CO66" s="1"/>
      <c r="CP66" s="1"/>
      <c r="CQ66" s="1"/>
      <c r="CR66" s="1"/>
      <c r="CS66" s="1"/>
      <c r="CT66" s="1">
        <v>60</v>
      </c>
      <c r="CU66" s="1"/>
      <c r="CV66" s="1"/>
      <c r="CW66" s="1"/>
      <c r="CX66" s="2"/>
      <c r="CY66" s="2"/>
      <c r="CZ66" s="2"/>
      <c r="DA66" s="2"/>
      <c r="DB66" s="2"/>
      <c r="DC66" s="2"/>
      <c r="DD66" s="2"/>
      <c r="DE66" s="2"/>
      <c r="DF66" s="2"/>
      <c r="DG66" s="2"/>
      <c r="DH66" s="2"/>
      <c r="DI66" s="2"/>
      <c r="DJ66" s="2"/>
      <c r="DK66" s="2"/>
      <c r="DL66" s="2"/>
      <c r="DM66" s="2"/>
      <c r="DN66" s="2"/>
      <c r="DO66" s="2"/>
      <c r="DP66" s="2"/>
      <c r="DQ66" s="2"/>
      <c r="DR66" s="2"/>
      <c r="DS66" s="1"/>
      <c r="DT66" s="1"/>
      <c r="DU66" s="1"/>
      <c r="DV66" s="1"/>
      <c r="DW66" s="1"/>
      <c r="DX66" s="1"/>
      <c r="DY66" s="1"/>
      <c r="DZ66" s="1"/>
      <c r="EA66" s="1"/>
      <c r="EB66" s="1"/>
      <c r="EC66" s="2"/>
      <c r="ED66" s="2"/>
    </row>
    <row r="67" spans="1:134" x14ac:dyDescent="0.25">
      <c r="A67" s="1" t="s">
        <v>225</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v>15</v>
      </c>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v>180</v>
      </c>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row>
    <row r="68" spans="1:134"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v>30</v>
      </c>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v>30</v>
      </c>
      <c r="CH68" s="2"/>
      <c r="CI68" s="2"/>
      <c r="CJ68" s="2"/>
      <c r="CK68" s="2"/>
      <c r="CL68" s="2"/>
      <c r="CM68" s="2"/>
      <c r="CN68" s="2"/>
      <c r="CO68" s="2"/>
      <c r="CP68" s="2"/>
      <c r="CQ68" s="2"/>
      <c r="CR68" s="2"/>
      <c r="CS68" s="2"/>
      <c r="CT68" s="2">
        <v>30</v>
      </c>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row>
    <row r="69" spans="1:134" x14ac:dyDescent="0.25">
      <c r="A69" s="1" t="s">
        <v>437</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v>30</v>
      </c>
      <c r="AZ69" s="1"/>
      <c r="BA69" s="1"/>
      <c r="BB69" s="1"/>
      <c r="BC69" s="1"/>
      <c r="BD69" s="1"/>
      <c r="BE69" s="1"/>
      <c r="BF69" s="1"/>
      <c r="BG69" s="1"/>
      <c r="BH69" s="1"/>
      <c r="BI69" s="1"/>
      <c r="BJ69" s="1">
        <v>30</v>
      </c>
      <c r="BK69" s="1"/>
      <c r="BL69" s="1"/>
      <c r="BM69" s="1"/>
      <c r="BN69" s="1"/>
      <c r="BO69" s="1"/>
      <c r="BP69" s="1"/>
      <c r="BQ69" s="1"/>
      <c r="BR69" s="1"/>
      <c r="BS69" s="1"/>
      <c r="BT69" s="1"/>
      <c r="BU69" s="1"/>
      <c r="BV69" s="2"/>
      <c r="BW69" s="2"/>
      <c r="BX69" s="1"/>
      <c r="BY69" s="1"/>
      <c r="BZ69" s="1"/>
      <c r="CA69" s="1"/>
      <c r="CB69" s="1"/>
      <c r="CC69" s="1"/>
      <c r="CD69" s="1"/>
      <c r="CE69" s="1"/>
      <c r="CF69" s="1">
        <v>30</v>
      </c>
      <c r="CG69" s="1"/>
      <c r="CH69" s="1"/>
      <c r="CI69" s="1"/>
      <c r="CJ69" s="1"/>
      <c r="CK69" s="1"/>
      <c r="CL69" s="1"/>
      <c r="CM69" s="1"/>
      <c r="CN69" s="1"/>
      <c r="CO69" s="1"/>
      <c r="CP69" s="1"/>
      <c r="CQ69" s="1"/>
      <c r="CR69" s="1"/>
      <c r="CS69" s="1"/>
      <c r="CT69" s="1"/>
      <c r="CU69" s="1"/>
      <c r="CV69" s="1"/>
      <c r="CW69" s="1"/>
      <c r="CX69" s="2"/>
      <c r="CY69" s="2"/>
      <c r="CZ69" s="2"/>
      <c r="DA69" s="2"/>
      <c r="DB69" s="2"/>
      <c r="DC69" s="2"/>
      <c r="DD69" s="2"/>
      <c r="DE69" s="2"/>
      <c r="DF69" s="2"/>
      <c r="DG69" s="2"/>
      <c r="DH69" s="2"/>
      <c r="DI69" s="2"/>
      <c r="DJ69" s="2"/>
      <c r="DK69" s="2"/>
      <c r="DL69" s="2"/>
      <c r="DM69" s="2"/>
      <c r="DN69" s="2"/>
      <c r="DO69" s="2"/>
      <c r="DP69" s="2"/>
      <c r="DQ69" s="2"/>
      <c r="DR69" s="2"/>
      <c r="DS69" s="1"/>
      <c r="DT69" s="1"/>
      <c r="DU69" s="1"/>
      <c r="DV69" s="1"/>
      <c r="DW69" s="1"/>
      <c r="DX69" s="1"/>
      <c r="DY69" s="1"/>
      <c r="DZ69" s="1"/>
      <c r="EA69" s="1"/>
      <c r="EB69" s="1"/>
      <c r="EC69" s="2"/>
      <c r="ED69" s="2"/>
    </row>
    <row r="70" spans="1:134" x14ac:dyDescent="0.25">
      <c r="A70" s="1" t="s">
        <v>405</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v>30</v>
      </c>
      <c r="AZ70" s="1"/>
      <c r="BA70" s="1"/>
      <c r="BB70" s="1"/>
      <c r="BC70" s="1"/>
      <c r="BD70" s="1"/>
      <c r="BE70" s="1"/>
      <c r="BF70" s="1"/>
      <c r="BG70" s="1"/>
      <c r="BH70" s="1"/>
      <c r="BI70" s="1"/>
      <c r="BJ70" s="1"/>
      <c r="BK70" s="1"/>
      <c r="BL70" s="1"/>
      <c r="BM70" s="1"/>
      <c r="BN70" s="1">
        <v>30</v>
      </c>
      <c r="BO70" s="1"/>
      <c r="BP70" s="1"/>
      <c r="BQ70" s="1"/>
      <c r="BR70" s="1"/>
      <c r="BS70" s="1"/>
      <c r="BT70" s="1"/>
      <c r="BU70" s="1"/>
      <c r="BV70" s="2"/>
      <c r="BW70" s="2"/>
      <c r="BX70" s="1"/>
      <c r="BY70" s="1"/>
      <c r="BZ70" s="1">
        <v>30</v>
      </c>
      <c r="CA70" s="1"/>
      <c r="CB70" s="1"/>
      <c r="CC70" s="1"/>
      <c r="CD70" s="1"/>
      <c r="CE70" s="1"/>
      <c r="CF70" s="1"/>
      <c r="CG70" s="1"/>
      <c r="CH70" s="1"/>
      <c r="CI70" s="1"/>
      <c r="CJ70" s="1"/>
      <c r="CK70" s="1"/>
      <c r="CL70" s="1"/>
      <c r="CM70" s="1"/>
      <c r="CN70" s="1"/>
      <c r="CO70" s="1"/>
      <c r="CP70" s="1"/>
      <c r="CQ70" s="1"/>
      <c r="CR70" s="1"/>
      <c r="CS70" s="1"/>
      <c r="CT70" s="1">
        <v>30</v>
      </c>
      <c r="CU70" s="1"/>
      <c r="CV70" s="1"/>
      <c r="CW70" s="1"/>
      <c r="CX70" s="2"/>
      <c r="CY70" s="2"/>
      <c r="CZ70" s="2"/>
      <c r="DA70" s="2"/>
      <c r="DB70" s="2"/>
      <c r="DC70" s="2"/>
      <c r="DD70" s="2"/>
      <c r="DE70" s="2"/>
      <c r="DF70" s="2"/>
      <c r="DG70" s="2"/>
      <c r="DH70" s="2"/>
      <c r="DI70" s="2"/>
      <c r="DJ70" s="2"/>
      <c r="DK70" s="2"/>
      <c r="DL70" s="2"/>
      <c r="DM70" s="2"/>
      <c r="DN70" s="2"/>
      <c r="DO70" s="2"/>
      <c r="DP70" s="2"/>
      <c r="DQ70" s="2"/>
      <c r="DR70" s="2"/>
      <c r="DS70" s="1"/>
      <c r="DT70" s="1"/>
      <c r="DU70" s="1"/>
      <c r="DV70" s="1"/>
      <c r="DW70" s="1"/>
      <c r="DX70" s="1"/>
      <c r="DY70" s="1"/>
      <c r="DZ70" s="1"/>
      <c r="EA70" s="1"/>
      <c r="EB70" s="1"/>
      <c r="EC70" s="2"/>
      <c r="ED70" s="2"/>
    </row>
    <row r="71" spans="1:134" x14ac:dyDescent="0.25">
      <c r="A71" s="1" t="s">
        <v>228</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v>30</v>
      </c>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v>30</v>
      </c>
      <c r="CA71" s="2"/>
      <c r="CB71" s="2"/>
      <c r="CC71" s="2"/>
      <c r="CD71" s="2"/>
      <c r="CE71" s="2"/>
      <c r="CF71" s="2"/>
      <c r="CG71" s="2"/>
      <c r="CH71" s="2"/>
      <c r="CI71" s="3"/>
      <c r="CJ71" s="2"/>
      <c r="CK71" s="2"/>
      <c r="CL71" s="2"/>
      <c r="CM71" s="2"/>
      <c r="CN71" s="2"/>
      <c r="CO71" s="2"/>
      <c r="CP71" s="2"/>
      <c r="CQ71" s="2"/>
      <c r="CR71" s="2"/>
      <c r="CS71" s="2"/>
      <c r="CT71" s="2">
        <v>60</v>
      </c>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row>
    <row r="72" spans="1:134" x14ac:dyDescent="0.25">
      <c r="A72" s="1" t="s">
        <v>395</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v>120</v>
      </c>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2"/>
      <c r="BW72" s="2"/>
      <c r="BX72" s="1"/>
      <c r="BY72" s="1"/>
      <c r="BZ72" s="1"/>
      <c r="CA72" s="1"/>
      <c r="CB72" s="1"/>
      <c r="CC72" s="1"/>
      <c r="CD72" s="1"/>
      <c r="CE72" s="1"/>
      <c r="CF72" s="11"/>
      <c r="CG72" s="11"/>
      <c r="CH72" s="11"/>
      <c r="CI72" s="11"/>
      <c r="CJ72" s="1"/>
      <c r="CK72" s="1"/>
      <c r="CL72" s="1">
        <v>120</v>
      </c>
      <c r="CM72" s="1"/>
      <c r="CN72" s="1"/>
      <c r="CO72" s="1"/>
      <c r="CP72" s="1"/>
      <c r="CQ72" s="1"/>
      <c r="CR72" s="1"/>
      <c r="CS72" s="1"/>
      <c r="CT72" s="1"/>
      <c r="CU72" s="1"/>
      <c r="CV72" s="1"/>
      <c r="CW72" s="1"/>
      <c r="CX72" s="2"/>
      <c r="CY72" s="2"/>
      <c r="CZ72" s="2"/>
      <c r="DA72" s="2"/>
      <c r="DB72" s="2"/>
      <c r="DC72" s="2"/>
      <c r="DD72" s="2"/>
      <c r="DE72" s="2"/>
      <c r="DF72" s="2"/>
      <c r="DG72" s="2"/>
      <c r="DH72" s="2"/>
      <c r="DI72" s="2"/>
      <c r="DJ72" s="2"/>
      <c r="DK72" s="2"/>
      <c r="DL72" s="2"/>
      <c r="DM72" s="2"/>
      <c r="DN72" s="2"/>
      <c r="DO72" s="2"/>
      <c r="DP72" s="2"/>
      <c r="DQ72" s="2"/>
      <c r="DR72" s="2"/>
      <c r="DS72" s="1"/>
      <c r="DT72" s="1"/>
      <c r="DU72" s="1"/>
      <c r="DV72" s="1"/>
      <c r="DW72" s="1"/>
      <c r="DX72" s="1"/>
      <c r="DY72" s="1"/>
      <c r="DZ72" s="1"/>
      <c r="EA72" s="1"/>
      <c r="EB72" s="1"/>
      <c r="EC72" s="2"/>
      <c r="ED72" s="2"/>
    </row>
    <row r="73" spans="1:134" x14ac:dyDescent="0.25">
      <c r="A73" s="1" t="s">
        <v>571</v>
      </c>
      <c r="B73" s="3" t="s">
        <v>572</v>
      </c>
      <c r="C73" s="1" t="s">
        <v>70</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2"/>
      <c r="BW73" s="2"/>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2"/>
      <c r="CY73" s="2">
        <v>10</v>
      </c>
      <c r="CZ73" s="2"/>
      <c r="DA73" s="2"/>
      <c r="DB73" s="2"/>
      <c r="DC73" s="2"/>
      <c r="DD73" s="2"/>
      <c r="DE73" s="2"/>
      <c r="DF73" s="2"/>
      <c r="DG73" s="2"/>
      <c r="DH73" s="2"/>
      <c r="DI73" s="2"/>
      <c r="DJ73" s="2"/>
      <c r="DK73" s="2"/>
      <c r="DL73" s="2"/>
      <c r="DM73" s="2"/>
      <c r="DN73" s="2"/>
      <c r="DO73" s="2">
        <v>1</v>
      </c>
      <c r="DP73" s="2"/>
      <c r="DQ73" s="2"/>
      <c r="DR73" s="2"/>
      <c r="DS73" s="1"/>
      <c r="DT73" s="1"/>
      <c r="DU73" s="1"/>
      <c r="DV73" s="1"/>
      <c r="DW73" s="1">
        <v>1</v>
      </c>
      <c r="DX73" s="1"/>
      <c r="DY73" s="1"/>
      <c r="DZ73" s="1"/>
      <c r="EA73" s="1"/>
      <c r="EB73" s="1"/>
      <c r="EC73" s="2"/>
      <c r="ED73" s="2"/>
    </row>
    <row r="74" spans="1:134" x14ac:dyDescent="0.25">
      <c r="A74" s="1" t="s">
        <v>715</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v>15</v>
      </c>
      <c r="AZ74" s="1"/>
      <c r="BA74" s="1"/>
      <c r="BB74" s="1"/>
      <c r="BC74" s="1"/>
      <c r="BD74" s="1"/>
      <c r="BE74" s="1"/>
      <c r="BF74" s="1"/>
      <c r="BG74" s="1"/>
      <c r="BH74" s="1"/>
      <c r="BI74" s="1"/>
      <c r="BJ74" s="1"/>
      <c r="BK74" s="1"/>
      <c r="BL74" s="1"/>
      <c r="BM74" s="1"/>
      <c r="BN74" s="1"/>
      <c r="BO74" s="1"/>
      <c r="BP74" s="1"/>
      <c r="BQ74" s="1"/>
      <c r="BR74" s="1"/>
      <c r="BS74" s="1"/>
      <c r="BT74" s="1"/>
      <c r="BU74" s="1"/>
      <c r="BV74" s="2"/>
      <c r="BW74" s="2"/>
      <c r="BX74" s="1">
        <v>90</v>
      </c>
      <c r="BY74" s="1"/>
      <c r="BZ74" s="1"/>
      <c r="CA74" s="1"/>
      <c r="CB74" s="1"/>
      <c r="CC74" s="1"/>
      <c r="CD74" s="1"/>
      <c r="CE74" s="1"/>
      <c r="CF74" s="1"/>
      <c r="CG74" s="1"/>
      <c r="CH74" s="1">
        <v>15</v>
      </c>
      <c r="CI74" s="1"/>
      <c r="CJ74" s="1"/>
      <c r="CK74" s="1">
        <v>180</v>
      </c>
      <c r="CL74" s="1"/>
      <c r="CM74" s="1"/>
      <c r="CN74" s="1"/>
      <c r="CO74" s="1"/>
      <c r="CP74" s="1"/>
      <c r="CQ74" s="1"/>
      <c r="CR74" s="1"/>
      <c r="CS74" s="1"/>
      <c r="CT74" s="1"/>
      <c r="CU74" s="1"/>
      <c r="CV74" s="1"/>
      <c r="CW74" s="1"/>
      <c r="CX74" s="2"/>
      <c r="CY74" s="2"/>
      <c r="CZ74" s="2"/>
      <c r="DA74" s="2"/>
      <c r="DB74" s="2"/>
      <c r="DC74" s="2"/>
      <c r="DD74" s="2"/>
      <c r="DE74" s="2"/>
      <c r="DF74" s="2"/>
      <c r="DG74" s="2"/>
      <c r="DH74" s="2"/>
      <c r="DI74" s="2"/>
      <c r="DJ74" s="2"/>
      <c r="DK74" s="2"/>
      <c r="DL74" s="2"/>
      <c r="DM74" s="2"/>
      <c r="DN74" s="2"/>
      <c r="DO74" s="2"/>
      <c r="DP74" s="2"/>
      <c r="DQ74" s="2"/>
      <c r="DR74" s="2"/>
      <c r="DS74" s="1"/>
      <c r="DT74" s="1"/>
      <c r="DU74" s="1"/>
      <c r="DV74" s="1"/>
      <c r="DW74" s="1"/>
      <c r="DX74" s="1"/>
      <c r="DY74" s="1"/>
      <c r="DZ74" s="1"/>
      <c r="EA74" s="1"/>
      <c r="EB74" s="1"/>
      <c r="EC74" s="2"/>
      <c r="ED74" s="2"/>
    </row>
    <row r="75" spans="1:134" x14ac:dyDescent="0.25">
      <c r="A75" s="1" t="s">
        <v>213</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v>90</v>
      </c>
      <c r="Y75" s="1"/>
      <c r="Z75" s="1"/>
      <c r="AA75" s="1"/>
      <c r="AB75" s="1"/>
      <c r="AC75" s="1"/>
      <c r="AD75" s="1"/>
      <c r="AE75" s="1"/>
      <c r="AF75" s="1"/>
      <c r="AG75" s="1"/>
      <c r="AH75" s="1"/>
      <c r="AI75" s="1"/>
      <c r="AJ75" s="1"/>
      <c r="AK75" s="1"/>
      <c r="AL75" s="1"/>
      <c r="AM75" s="1"/>
      <c r="AN75" s="1"/>
      <c r="AO75" s="1"/>
      <c r="AP75" s="1"/>
      <c r="AQ75" s="1">
        <v>15</v>
      </c>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2"/>
      <c r="BW75" s="2"/>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2"/>
      <c r="CY75" s="2"/>
      <c r="CZ75" s="2"/>
      <c r="DA75" s="2"/>
      <c r="DB75" s="2"/>
      <c r="DC75" s="2"/>
      <c r="DD75" s="2"/>
      <c r="DE75" s="2"/>
      <c r="DF75" s="2"/>
      <c r="DG75" s="2"/>
      <c r="DH75" s="2"/>
      <c r="DI75" s="2"/>
      <c r="DJ75" s="2"/>
      <c r="DK75" s="2"/>
      <c r="DL75" s="2"/>
      <c r="DM75" s="2"/>
      <c r="DN75" s="2"/>
      <c r="DO75" s="2"/>
      <c r="DP75" s="2"/>
      <c r="DQ75" s="2"/>
      <c r="DR75" s="2"/>
      <c r="DS75" s="1"/>
      <c r="DT75" s="1"/>
      <c r="DU75" s="1"/>
      <c r="DV75" s="1"/>
      <c r="DW75" s="1"/>
      <c r="DX75" s="1"/>
      <c r="DY75" s="1"/>
      <c r="DZ75" s="1"/>
      <c r="EA75" s="1"/>
      <c r="EB75" s="1"/>
      <c r="EC75" s="2"/>
      <c r="ED75" s="2"/>
    </row>
    <row r="76" spans="1:134" x14ac:dyDescent="0.25">
      <c r="A76" s="1" t="s">
        <v>274</v>
      </c>
      <c r="B76" s="1" t="s">
        <v>157</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v>60</v>
      </c>
      <c r="BA76" s="1"/>
      <c r="BB76" s="1"/>
      <c r="BC76" s="1">
        <v>60</v>
      </c>
      <c r="BD76" s="1"/>
      <c r="BE76" s="1"/>
      <c r="BF76" s="1"/>
      <c r="BG76" s="1"/>
      <c r="BH76" s="1"/>
      <c r="BI76" s="1"/>
      <c r="BJ76" s="1"/>
      <c r="BK76" s="1"/>
      <c r="BL76" s="1"/>
      <c r="BM76" s="1"/>
      <c r="BN76" s="1"/>
      <c r="BO76" s="1"/>
      <c r="BP76" s="1"/>
      <c r="BQ76" s="1"/>
      <c r="BR76" s="1"/>
      <c r="BS76" s="1"/>
      <c r="BT76" s="1"/>
      <c r="BU76" s="1"/>
      <c r="BV76" s="2"/>
      <c r="BW76" s="2"/>
      <c r="BX76" s="1"/>
      <c r="BY76" s="1">
        <v>30</v>
      </c>
      <c r="BZ76" s="1"/>
      <c r="CA76" s="1"/>
      <c r="CB76" s="1"/>
      <c r="CC76" s="1"/>
      <c r="CD76" s="1"/>
      <c r="CE76" s="1"/>
      <c r="CF76" s="1"/>
      <c r="CG76" s="1"/>
      <c r="CH76" s="1"/>
      <c r="CI76" s="1"/>
      <c r="CJ76" s="1"/>
      <c r="CK76" s="1"/>
      <c r="CL76" s="1"/>
      <c r="CM76" s="1"/>
      <c r="CN76" s="1"/>
      <c r="CO76" s="1"/>
      <c r="CP76" s="1"/>
      <c r="CQ76" s="1"/>
      <c r="CR76" s="1"/>
      <c r="CS76" s="1"/>
      <c r="CT76" s="1"/>
      <c r="CU76" s="1"/>
      <c r="CV76" s="1"/>
      <c r="CW76" s="1"/>
      <c r="CX76" s="2"/>
      <c r="CY76" s="2"/>
      <c r="CZ76" s="2"/>
      <c r="DA76" s="2"/>
      <c r="DB76" s="2"/>
      <c r="DC76" s="2"/>
      <c r="DD76" s="2"/>
      <c r="DE76" s="2"/>
      <c r="DF76" s="2"/>
      <c r="DG76" s="2"/>
      <c r="DH76" s="2"/>
      <c r="DI76" s="2"/>
      <c r="DJ76" s="2"/>
      <c r="DK76" s="2"/>
      <c r="DL76" s="2"/>
      <c r="DM76" s="2"/>
      <c r="DN76" s="2"/>
      <c r="DO76" s="2"/>
      <c r="DP76" s="2"/>
      <c r="DQ76" s="2"/>
      <c r="DR76" s="2"/>
      <c r="DS76" s="1"/>
      <c r="DT76" s="1"/>
      <c r="DU76" s="1"/>
      <c r="DV76" s="1"/>
      <c r="DW76" s="1"/>
      <c r="DX76" s="1"/>
      <c r="DY76" s="1"/>
      <c r="DZ76" s="1"/>
      <c r="EA76" s="1"/>
      <c r="EB76" s="1"/>
      <c r="EC76" s="2"/>
      <c r="ED76" s="2"/>
    </row>
    <row r="77" spans="1:134" x14ac:dyDescent="0.25">
      <c r="A77" s="1" t="s">
        <v>268</v>
      </c>
      <c r="B77" s="1" t="s">
        <v>157</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v>30</v>
      </c>
      <c r="AJ77" s="1"/>
      <c r="AK77" s="1"/>
      <c r="AL77" s="1"/>
      <c r="AM77" s="1"/>
      <c r="AN77" s="1"/>
      <c r="AO77" s="1"/>
      <c r="AP77" s="1"/>
      <c r="AQ77" s="1"/>
      <c r="AR77" s="1"/>
      <c r="AS77" s="1"/>
      <c r="AT77" s="1"/>
      <c r="AU77" s="1"/>
      <c r="AV77" s="1"/>
      <c r="AW77" s="1"/>
      <c r="AX77" s="1"/>
      <c r="AY77" s="1">
        <v>15</v>
      </c>
      <c r="AZ77" s="1"/>
      <c r="BA77" s="1"/>
      <c r="BB77" s="1"/>
      <c r="BC77" s="1"/>
      <c r="BD77" s="1"/>
      <c r="BE77" s="1"/>
      <c r="BF77" s="1"/>
      <c r="BG77" s="1"/>
      <c r="BH77" s="1"/>
      <c r="BI77" s="1"/>
      <c r="BJ77" s="1"/>
      <c r="BK77" s="1"/>
      <c r="BL77" s="1"/>
      <c r="BM77" s="1"/>
      <c r="BN77" s="1"/>
      <c r="BO77" s="1"/>
      <c r="BP77" s="1"/>
      <c r="BQ77" s="1"/>
      <c r="BR77" s="1"/>
      <c r="BS77" s="1"/>
      <c r="BT77" s="1"/>
      <c r="BU77" s="1"/>
      <c r="BV77" s="2"/>
      <c r="BW77" s="2"/>
      <c r="BX77" s="1"/>
      <c r="BY77" s="1"/>
      <c r="BZ77" s="1"/>
      <c r="CA77" s="1"/>
      <c r="CB77" s="1"/>
      <c r="CC77" s="1"/>
      <c r="CD77" s="1"/>
      <c r="CE77" s="1"/>
      <c r="CF77" s="1"/>
      <c r="CG77" s="1"/>
      <c r="CH77" s="1"/>
      <c r="CI77" s="1"/>
      <c r="CJ77" s="1"/>
      <c r="CK77" s="1"/>
      <c r="CL77" s="1"/>
      <c r="CM77" s="1"/>
      <c r="CN77" s="1"/>
      <c r="CO77" s="1">
        <v>120</v>
      </c>
      <c r="CP77" s="1"/>
      <c r="CQ77" s="1"/>
      <c r="CR77" s="1"/>
      <c r="CS77" s="1"/>
      <c r="CT77" s="1"/>
      <c r="CU77" s="1"/>
      <c r="CV77" s="1"/>
      <c r="CW77" s="1"/>
      <c r="CX77" s="2"/>
      <c r="CY77" s="2"/>
      <c r="CZ77" s="2"/>
      <c r="DA77" s="2"/>
      <c r="DB77" s="2"/>
      <c r="DC77" s="2"/>
      <c r="DD77" s="2"/>
      <c r="DE77" s="2"/>
      <c r="DF77" s="2"/>
      <c r="DG77" s="2"/>
      <c r="DH77" s="2"/>
      <c r="DI77" s="2"/>
      <c r="DJ77" s="2"/>
      <c r="DK77" s="2"/>
      <c r="DL77" s="2"/>
      <c r="DM77" s="2"/>
      <c r="DN77" s="2"/>
      <c r="DO77" s="2"/>
      <c r="DP77" s="2"/>
      <c r="DQ77" s="2"/>
      <c r="DR77" s="2"/>
      <c r="DS77" s="1"/>
      <c r="DT77" s="1"/>
      <c r="DU77" s="1"/>
      <c r="DV77" s="1"/>
      <c r="DW77" s="1"/>
      <c r="DX77" s="1"/>
      <c r="DY77" s="1"/>
      <c r="DZ77" s="1"/>
      <c r="EA77" s="1"/>
      <c r="EB77" s="1"/>
      <c r="EC77" s="2"/>
      <c r="ED77" s="2"/>
    </row>
    <row r="78" spans="1:134"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v>15</v>
      </c>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v>150</v>
      </c>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row>
    <row r="79" spans="1:134"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v>15</v>
      </c>
      <c r="AZ79" s="2">
        <v>30</v>
      </c>
      <c r="BA79" s="2"/>
      <c r="BB79" s="2">
        <v>30</v>
      </c>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v>30</v>
      </c>
      <c r="CE79" s="2"/>
      <c r="CF79" s="2"/>
      <c r="CG79" s="2"/>
      <c r="CH79" s="2"/>
      <c r="CI79" s="2"/>
      <c r="CJ79" s="2"/>
      <c r="CK79" s="2">
        <v>60</v>
      </c>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row>
    <row r="80" spans="1:134" x14ac:dyDescent="0.25">
      <c r="A80" s="1" t="s">
        <v>222</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v>30</v>
      </c>
      <c r="AZ80" s="2">
        <v>30</v>
      </c>
      <c r="BA80" s="2"/>
      <c r="BB80" s="2">
        <v>30</v>
      </c>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v>30</v>
      </c>
      <c r="CE80" s="2"/>
      <c r="CF80" s="2"/>
      <c r="CG80" s="2"/>
      <c r="CH80" s="2"/>
      <c r="CI80" s="2"/>
      <c r="CJ80" s="2"/>
      <c r="CK80" s="2">
        <v>90</v>
      </c>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row>
    <row r="81" spans="1:134" x14ac:dyDescent="0.25">
      <c r="A81" s="1" t="s">
        <v>731</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v>30</v>
      </c>
      <c r="BA81" s="2"/>
      <c r="BB81" s="2"/>
      <c r="BC81" s="2"/>
      <c r="BD81" s="2"/>
      <c r="BE81" s="2"/>
      <c r="BF81" s="2"/>
      <c r="BG81" s="2">
        <v>90</v>
      </c>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row>
    <row r="82" spans="1:134" x14ac:dyDescent="0.25">
      <c r="A82" s="1" t="s">
        <v>732</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v>15</v>
      </c>
      <c r="AO82" s="2"/>
      <c r="AP82" s="2"/>
      <c r="AQ82" s="2"/>
      <c r="AR82" s="2"/>
      <c r="AS82" s="2"/>
      <c r="AT82" s="2"/>
      <c r="AU82" s="2"/>
      <c r="AV82" s="2"/>
      <c r="AW82" s="2"/>
      <c r="AX82" s="2"/>
      <c r="AY82" s="2">
        <v>15</v>
      </c>
      <c r="AZ82" s="2">
        <v>60</v>
      </c>
      <c r="BA82" s="2"/>
      <c r="BB82" s="2"/>
      <c r="BC82" s="2">
        <v>60</v>
      </c>
      <c r="BD82" s="2"/>
      <c r="BE82" s="2"/>
      <c r="BF82" s="2"/>
      <c r="BG82" s="2"/>
      <c r="BH82" s="2"/>
      <c r="BI82" s="2"/>
      <c r="BJ82" s="2"/>
      <c r="BK82" s="2"/>
      <c r="BL82" s="2"/>
      <c r="BM82" s="2"/>
      <c r="BN82" s="2"/>
      <c r="BO82" s="2"/>
      <c r="BP82" s="2"/>
      <c r="BQ82" s="2"/>
      <c r="BR82" s="2"/>
      <c r="BS82" s="2"/>
      <c r="BT82" s="2"/>
      <c r="BU82" s="2"/>
      <c r="BV82" s="2"/>
      <c r="BW82" s="2"/>
      <c r="BX82" s="2"/>
      <c r="BY82" s="2">
        <v>15</v>
      </c>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row>
    <row r="83" spans="1:134" x14ac:dyDescent="0.25">
      <c r="A83" s="1" t="s">
        <v>305</v>
      </c>
      <c r="B83" s="1" t="s">
        <v>53</v>
      </c>
      <c r="C83" s="2" t="s">
        <v>71</v>
      </c>
      <c r="D83" s="2">
        <v>300</v>
      </c>
      <c r="E83" s="2">
        <v>120</v>
      </c>
      <c r="F83" s="2" t="s">
        <v>59</v>
      </c>
      <c r="G83" s="2">
        <v>180</v>
      </c>
      <c r="H83" s="2">
        <f t="shared" si="2"/>
        <v>180</v>
      </c>
      <c r="I83" s="1"/>
      <c r="J83" s="1"/>
      <c r="K83" s="1"/>
      <c r="L83" s="1"/>
      <c r="M83" s="1"/>
      <c r="N83" s="1"/>
      <c r="O83" s="1"/>
      <c r="P83" s="1"/>
      <c r="Q83" s="1"/>
      <c r="R83" s="1"/>
      <c r="S83" s="1"/>
      <c r="T83" s="1"/>
      <c r="U83" s="1"/>
      <c r="V83" s="1">
        <v>60</v>
      </c>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v>15</v>
      </c>
      <c r="AZ83" s="1"/>
      <c r="BA83" s="1"/>
      <c r="BB83" s="1"/>
      <c r="BC83" s="1"/>
      <c r="BD83" s="1"/>
      <c r="BE83" s="1"/>
      <c r="BF83" s="1"/>
      <c r="BG83" s="1"/>
      <c r="BH83" s="1"/>
      <c r="BI83" s="1"/>
      <c r="BJ83" s="1"/>
      <c r="BK83" s="1"/>
      <c r="BL83" s="1"/>
      <c r="BM83" s="1"/>
      <c r="BN83" s="1"/>
      <c r="BO83" s="1"/>
      <c r="BP83" s="1"/>
      <c r="BQ83" s="1">
        <v>90</v>
      </c>
      <c r="BR83" s="1"/>
      <c r="BS83" s="1"/>
      <c r="BT83" s="1"/>
      <c r="BU83" s="1"/>
      <c r="BV83" s="2"/>
      <c r="BW83" s="2"/>
      <c r="BX83" s="1"/>
      <c r="BY83" s="1"/>
      <c r="BZ83" s="1"/>
      <c r="CA83" s="1"/>
      <c r="CB83" s="1">
        <v>15</v>
      </c>
      <c r="CC83" s="1"/>
      <c r="CD83" s="1"/>
      <c r="CE83" s="1"/>
      <c r="CF83" s="1"/>
      <c r="CG83" s="1"/>
      <c r="CH83" s="1"/>
      <c r="CI83" s="1"/>
      <c r="CJ83" s="1"/>
      <c r="CK83" s="1"/>
      <c r="CL83" s="1"/>
      <c r="CM83" s="1"/>
      <c r="CN83" s="1"/>
      <c r="CO83" s="1"/>
      <c r="CP83" s="1"/>
      <c r="CQ83" s="1"/>
      <c r="CR83" s="1"/>
      <c r="CS83" s="1"/>
      <c r="CT83" s="1"/>
      <c r="CU83" s="1"/>
      <c r="CV83" s="1"/>
      <c r="CW83" s="1"/>
      <c r="CX83" s="2"/>
      <c r="CY83" s="2"/>
      <c r="CZ83" s="2"/>
      <c r="DA83" s="2"/>
      <c r="DB83" s="2"/>
      <c r="DC83" s="2"/>
      <c r="DD83" s="2"/>
      <c r="DE83" s="2"/>
      <c r="DF83" s="2"/>
      <c r="DG83" s="2"/>
      <c r="DH83" s="2"/>
      <c r="DI83" s="2"/>
      <c r="DJ83" s="2"/>
      <c r="DK83" s="2"/>
      <c r="DL83" s="2"/>
      <c r="DM83" s="2"/>
      <c r="DN83" s="2"/>
      <c r="DO83" s="2"/>
      <c r="DP83" s="2"/>
      <c r="DQ83" s="2"/>
      <c r="DR83" s="2"/>
      <c r="DS83" s="1"/>
      <c r="DT83" s="1"/>
      <c r="DU83" s="1"/>
      <c r="DV83" s="1"/>
      <c r="DW83" s="1"/>
      <c r="DX83" s="1"/>
      <c r="DY83" s="1"/>
      <c r="DZ83" s="1"/>
      <c r="EA83" s="1"/>
      <c r="EB83" s="1"/>
      <c r="EC83" s="2"/>
      <c r="ED83" s="2"/>
    </row>
    <row r="84" spans="1:134" x14ac:dyDescent="0.25">
      <c r="A84" s="1" t="s">
        <v>628</v>
      </c>
      <c r="B84" s="1" t="s">
        <v>51</v>
      </c>
      <c r="C84" s="3" t="s">
        <v>69</v>
      </c>
      <c r="D84" s="2">
        <v>300</v>
      </c>
      <c r="E84" s="1"/>
      <c r="F84" s="2" t="s">
        <v>60</v>
      </c>
      <c r="G84" s="1"/>
      <c r="H84" s="2">
        <f t="shared" si="2"/>
        <v>1000</v>
      </c>
      <c r="I84" s="1"/>
      <c r="J84" s="1"/>
      <c r="K84" s="1"/>
      <c r="L84" s="1"/>
      <c r="M84" s="1"/>
      <c r="N84" s="1"/>
      <c r="O84" s="1"/>
      <c r="P84" s="1"/>
      <c r="Q84" s="1"/>
      <c r="R84" s="1"/>
      <c r="S84" s="1"/>
      <c r="T84" s="1">
        <v>1000</v>
      </c>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2"/>
      <c r="BW84" s="2"/>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2"/>
      <c r="CY84" s="2"/>
      <c r="CZ84" s="2"/>
      <c r="DA84" s="2"/>
      <c r="DB84" s="2"/>
      <c r="DC84" s="2"/>
      <c r="DD84" s="2"/>
      <c r="DE84" s="2"/>
      <c r="DF84" s="2"/>
      <c r="DG84" s="2"/>
      <c r="DH84" s="2"/>
      <c r="DI84" s="2"/>
      <c r="DJ84" s="2">
        <v>2</v>
      </c>
      <c r="DK84" s="2"/>
      <c r="DL84" s="2"/>
      <c r="DM84" s="2"/>
      <c r="DN84" s="2"/>
      <c r="DO84" s="2">
        <v>2</v>
      </c>
      <c r="DP84" s="2"/>
      <c r="DQ84" s="2"/>
      <c r="DR84" s="2"/>
      <c r="DS84" s="1"/>
      <c r="DT84" s="1"/>
      <c r="DU84" s="1"/>
      <c r="DV84" s="1">
        <v>1</v>
      </c>
      <c r="DW84" s="1"/>
      <c r="DX84" s="1"/>
      <c r="DY84" s="1"/>
      <c r="DZ84" s="1"/>
      <c r="EA84" s="1"/>
      <c r="EB84" s="1"/>
      <c r="EC84" s="2"/>
      <c r="ED84" s="2"/>
    </row>
    <row r="85" spans="1:134" x14ac:dyDescent="0.25">
      <c r="A85" s="1" t="s">
        <v>631</v>
      </c>
      <c r="B85" s="1" t="s">
        <v>51</v>
      </c>
      <c r="C85" s="3" t="s">
        <v>69</v>
      </c>
      <c r="D85" s="2">
        <v>300</v>
      </c>
      <c r="E85" s="1"/>
      <c r="F85" s="2" t="s">
        <v>60</v>
      </c>
      <c r="G85" s="1"/>
      <c r="H85" s="2">
        <f t="shared" si="2"/>
        <v>330</v>
      </c>
      <c r="I85" s="1"/>
      <c r="J85" s="1"/>
      <c r="K85" s="1"/>
      <c r="L85" s="1"/>
      <c r="M85" s="1"/>
      <c r="N85" s="1"/>
      <c r="O85" s="1"/>
      <c r="P85" s="1"/>
      <c r="Q85" s="1"/>
      <c r="R85" s="1"/>
      <c r="S85" s="1"/>
      <c r="T85" s="1">
        <v>330</v>
      </c>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2"/>
      <c r="BW85" s="2"/>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2"/>
      <c r="CY85" s="2"/>
      <c r="CZ85" s="2"/>
      <c r="DA85" s="2"/>
      <c r="DB85" s="2"/>
      <c r="DC85" s="2"/>
      <c r="DD85" s="2"/>
      <c r="DE85" s="2"/>
      <c r="DF85" s="2"/>
      <c r="DG85" s="2"/>
      <c r="DH85" s="2"/>
      <c r="DI85" s="2"/>
      <c r="DJ85" s="2"/>
      <c r="DK85" s="2"/>
      <c r="DL85" s="2"/>
      <c r="DM85" s="2"/>
      <c r="DN85" s="2"/>
      <c r="DO85" s="2"/>
      <c r="DP85" s="2"/>
      <c r="DQ85" s="2"/>
      <c r="DR85" s="2"/>
      <c r="DS85" s="1"/>
      <c r="DT85" s="1"/>
      <c r="DU85" s="1"/>
      <c r="DV85" s="1"/>
      <c r="DW85" s="1"/>
      <c r="DX85" s="1"/>
      <c r="DY85" s="1">
        <v>1</v>
      </c>
      <c r="DZ85" s="1"/>
      <c r="EA85" s="1"/>
      <c r="EB85" s="1"/>
      <c r="EC85" s="2"/>
      <c r="ED85" s="2"/>
    </row>
    <row r="86" spans="1:134" x14ac:dyDescent="0.25">
      <c r="A86" s="1" t="s">
        <v>39</v>
      </c>
      <c r="B86" s="1" t="s">
        <v>55</v>
      </c>
      <c r="C86" s="3" t="s">
        <v>69</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v>30</v>
      </c>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v>15</v>
      </c>
      <c r="CA86" s="2"/>
      <c r="CB86" s="2"/>
      <c r="CC86" s="2"/>
      <c r="CD86" s="2"/>
      <c r="CE86" s="2"/>
      <c r="CF86" s="2"/>
      <c r="CG86" s="2"/>
      <c r="CH86" s="2"/>
      <c r="CI86" s="2"/>
      <c r="CJ86" s="2"/>
      <c r="CK86" s="2"/>
      <c r="CL86" s="2"/>
      <c r="CM86" s="2"/>
      <c r="CN86" s="2"/>
      <c r="CO86" s="2"/>
      <c r="CP86" s="2"/>
      <c r="CQ86" s="2"/>
      <c r="CR86" s="2"/>
      <c r="CS86" s="2"/>
      <c r="CT86" s="2"/>
      <c r="CU86" s="2"/>
      <c r="CV86" s="2">
        <v>50</v>
      </c>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row>
    <row r="87" spans="1:134" x14ac:dyDescent="0.25">
      <c r="A87" s="1" t="s">
        <v>32</v>
      </c>
      <c r="B87" s="1" t="s">
        <v>54</v>
      </c>
      <c r="C87" s="3" t="s">
        <v>68</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v>30</v>
      </c>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v>1</v>
      </c>
      <c r="DT87" s="2"/>
      <c r="DU87" s="2"/>
      <c r="DV87" s="2"/>
      <c r="DW87" s="2"/>
      <c r="DX87" s="2"/>
      <c r="DY87" s="2"/>
      <c r="DZ87" s="2"/>
      <c r="EA87" s="2"/>
      <c r="EB87" s="2"/>
      <c r="EC87" s="2"/>
      <c r="ED87" s="2"/>
    </row>
    <row r="88" spans="1:134" x14ac:dyDescent="0.25">
      <c r="A88" s="1" t="s">
        <v>281</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2">
        <v>30</v>
      </c>
      <c r="AZ88" s="2"/>
      <c r="BA88" s="2"/>
      <c r="BB88" s="2"/>
      <c r="BC88" s="2"/>
      <c r="BD88" s="2"/>
      <c r="BE88" s="2"/>
      <c r="BF88" s="2">
        <v>30</v>
      </c>
      <c r="BG88" s="2"/>
      <c r="BH88" s="2"/>
      <c r="BI88" s="2"/>
      <c r="BJ88" s="2"/>
      <c r="BK88" s="2"/>
      <c r="BL88" s="2"/>
      <c r="BM88" s="2"/>
      <c r="BN88" s="2"/>
      <c r="BO88" s="2"/>
      <c r="BP88" s="2"/>
      <c r="BQ88" s="2"/>
      <c r="BR88" s="2"/>
      <c r="BS88" s="2"/>
      <c r="BT88" s="2"/>
      <c r="BU88" s="2"/>
      <c r="BV88" s="2"/>
      <c r="BW88" s="2"/>
      <c r="BX88" s="2"/>
      <c r="BY88" s="2"/>
      <c r="BZ88" s="2">
        <v>30</v>
      </c>
      <c r="CA88" s="2"/>
      <c r="CB88" s="2"/>
      <c r="CC88" s="2"/>
      <c r="CD88" s="2"/>
      <c r="CE88" s="2"/>
      <c r="CF88" s="2"/>
      <c r="CG88" s="2"/>
      <c r="CH88" s="2"/>
      <c r="CI88" s="2"/>
      <c r="CJ88" s="1"/>
      <c r="CK88" s="1"/>
      <c r="CL88" s="1"/>
      <c r="CM88" s="1"/>
      <c r="CN88" s="1"/>
      <c r="CO88" s="1"/>
      <c r="CP88" s="1"/>
      <c r="CQ88" s="1"/>
      <c r="CR88" s="2">
        <v>15</v>
      </c>
      <c r="CS88" s="1"/>
      <c r="CT88" s="1"/>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row>
    <row r="89" spans="1:134"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v>15</v>
      </c>
      <c r="AK89" s="2"/>
      <c r="AL89" s="2"/>
      <c r="AM89" s="2"/>
      <c r="AN89" s="2"/>
      <c r="AO89" s="2"/>
      <c r="AP89" s="2"/>
      <c r="AQ89" s="2"/>
      <c r="AR89" s="2"/>
      <c r="AS89" s="2"/>
      <c r="AT89" s="2"/>
      <c r="AU89" s="2"/>
      <c r="AV89" s="2"/>
      <c r="AW89" s="2"/>
      <c r="AX89" s="2"/>
      <c r="AY89" s="2">
        <v>30</v>
      </c>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v>15</v>
      </c>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row>
    <row r="90" spans="1:134"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v>15</v>
      </c>
      <c r="AK90" s="2"/>
      <c r="AL90" s="2"/>
      <c r="AM90" s="2"/>
      <c r="AN90" s="2"/>
      <c r="AO90" s="2"/>
      <c r="AP90" s="2"/>
      <c r="AQ90" s="2"/>
      <c r="AR90" s="2"/>
      <c r="AS90" s="2"/>
      <c r="AT90" s="2"/>
      <c r="AU90" s="2"/>
      <c r="AV90" s="2"/>
      <c r="AW90" s="2"/>
      <c r="AX90" s="2"/>
      <c r="AY90" s="2">
        <v>15</v>
      </c>
      <c r="AZ90" s="2"/>
      <c r="BA90" s="2"/>
      <c r="BB90" s="2">
        <v>30</v>
      </c>
      <c r="BC90" s="2"/>
      <c r="BD90" s="2"/>
      <c r="BE90" s="2"/>
      <c r="BF90" s="2"/>
      <c r="BG90" s="2"/>
      <c r="BH90" s="2"/>
      <c r="BI90" s="2"/>
      <c r="BJ90" s="2"/>
      <c r="BK90" s="2"/>
      <c r="BL90" s="2"/>
      <c r="BM90" s="2"/>
      <c r="BN90" s="2"/>
      <c r="BO90" s="2"/>
      <c r="BP90" s="2"/>
      <c r="BQ90" s="2"/>
      <c r="BR90" s="2"/>
      <c r="BS90" s="2"/>
      <c r="BT90" s="2"/>
      <c r="BU90" s="2"/>
      <c r="BV90" s="2"/>
      <c r="BW90" s="2"/>
      <c r="BX90" s="2"/>
      <c r="BY90" s="2"/>
      <c r="BZ90" s="2">
        <v>15</v>
      </c>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row>
    <row r="91" spans="1:134" x14ac:dyDescent="0.25">
      <c r="A91" s="1" t="s">
        <v>694</v>
      </c>
      <c r="B91" s="1" t="s">
        <v>695</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v>250</v>
      </c>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2"/>
      <c r="BW91" s="2"/>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2"/>
      <c r="CY91" s="2"/>
      <c r="CZ91" s="2"/>
      <c r="DA91" s="2"/>
      <c r="DB91" s="2"/>
      <c r="DC91" s="2"/>
      <c r="DD91" s="2">
        <v>1</v>
      </c>
      <c r="DE91" s="2"/>
      <c r="DF91" s="2"/>
      <c r="DG91" s="2"/>
      <c r="DH91" s="2"/>
      <c r="DI91" s="2"/>
      <c r="DJ91" s="2"/>
      <c r="DK91" s="2"/>
      <c r="DL91" s="2"/>
      <c r="DM91" s="2"/>
      <c r="DN91" s="2"/>
      <c r="DO91" s="2">
        <v>1</v>
      </c>
      <c r="DP91" s="2"/>
      <c r="DQ91" s="2"/>
      <c r="DR91" s="2"/>
      <c r="DS91" s="1"/>
      <c r="DT91" s="1"/>
      <c r="DU91" s="1"/>
      <c r="DV91" s="1"/>
      <c r="DW91" s="1"/>
      <c r="DX91" s="1"/>
      <c r="DY91" s="1"/>
      <c r="DZ91" s="1"/>
      <c r="EA91" s="1"/>
      <c r="EB91" s="1"/>
      <c r="EC91" s="2"/>
      <c r="ED91" s="2"/>
    </row>
    <row r="92" spans="1:134"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v>270</v>
      </c>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v>30</v>
      </c>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v>1</v>
      </c>
      <c r="DU92" s="2">
        <v>1</v>
      </c>
      <c r="DV92" s="2"/>
      <c r="DW92" s="2"/>
      <c r="DX92" s="2"/>
      <c r="DY92" s="2"/>
      <c r="DZ92" s="2">
        <v>1</v>
      </c>
      <c r="EA92" s="2"/>
      <c r="EB92" s="2"/>
      <c r="EC92" s="2"/>
      <c r="ED92" s="2"/>
    </row>
    <row r="93" spans="1:134" x14ac:dyDescent="0.25">
      <c r="A93" s="1" t="s">
        <v>523</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v>45</v>
      </c>
      <c r="AB93" s="2"/>
      <c r="AC93" s="2"/>
      <c r="AD93" s="2"/>
      <c r="AE93" s="2"/>
      <c r="AF93" s="2">
        <v>45</v>
      </c>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row>
    <row r="94" spans="1:134" x14ac:dyDescent="0.25">
      <c r="A94" s="1" t="s">
        <v>214</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v>75</v>
      </c>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v>75</v>
      </c>
      <c r="BA94" s="1"/>
      <c r="BB94" s="1"/>
      <c r="BC94" s="1"/>
      <c r="BD94" s="1"/>
      <c r="BE94" s="1"/>
      <c r="BF94" s="1"/>
      <c r="BG94" s="1"/>
      <c r="BH94" s="1"/>
      <c r="BI94" s="1"/>
      <c r="BJ94" s="1"/>
      <c r="BK94" s="1"/>
      <c r="BL94" s="1"/>
      <c r="BM94" s="1"/>
      <c r="BN94" s="1"/>
      <c r="BO94" s="1"/>
      <c r="BP94" s="1"/>
      <c r="BQ94" s="1"/>
      <c r="BR94" s="1"/>
      <c r="BS94" s="1"/>
      <c r="BT94" s="1"/>
      <c r="BU94" s="1"/>
      <c r="BV94" s="2"/>
      <c r="BW94" s="2"/>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2"/>
      <c r="CY94" s="2"/>
      <c r="CZ94" s="2"/>
      <c r="DA94" s="2"/>
      <c r="DB94" s="2"/>
      <c r="DC94" s="2"/>
      <c r="DD94" s="2"/>
      <c r="DE94" s="2"/>
      <c r="DF94" s="2"/>
      <c r="DG94" s="2"/>
      <c r="DH94" s="2"/>
      <c r="DI94" s="2"/>
      <c r="DJ94" s="2"/>
      <c r="DK94" s="2"/>
      <c r="DL94" s="2"/>
      <c r="DM94" s="2"/>
      <c r="DN94" s="2"/>
      <c r="DO94" s="2"/>
      <c r="DP94" s="2"/>
      <c r="DQ94" s="2"/>
      <c r="DR94" s="2"/>
      <c r="DS94" s="1"/>
      <c r="DT94" s="1"/>
      <c r="DU94" s="1"/>
      <c r="DV94" s="1"/>
      <c r="DW94" s="1"/>
      <c r="DX94" s="1"/>
      <c r="DY94" s="1"/>
      <c r="DZ94" s="1"/>
      <c r="EA94" s="1"/>
      <c r="EB94" s="1"/>
      <c r="EC94" s="2"/>
      <c r="ED94" s="2"/>
    </row>
    <row r="95" spans="1:134" x14ac:dyDescent="0.25">
      <c r="A95" s="1" t="s">
        <v>17</v>
      </c>
      <c r="B95" s="1" t="s">
        <v>51</v>
      </c>
      <c r="C95" s="2" t="s">
        <v>70</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v>30</v>
      </c>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v>30</v>
      </c>
      <c r="CU95" s="2"/>
      <c r="CV95" s="2"/>
      <c r="CW95" s="2"/>
      <c r="CX95" s="2"/>
      <c r="CY95" s="2">
        <v>12</v>
      </c>
      <c r="CZ95" s="2"/>
      <c r="DA95" s="2"/>
      <c r="DB95" s="2"/>
      <c r="DC95" s="2"/>
      <c r="DD95" s="2"/>
      <c r="DE95" s="2"/>
      <c r="DF95" s="2"/>
      <c r="DG95" s="2"/>
      <c r="DH95" s="2"/>
      <c r="DI95" s="2"/>
      <c r="DJ95" s="2"/>
      <c r="DK95" s="2"/>
      <c r="DL95" s="2"/>
      <c r="DM95" s="2"/>
      <c r="DN95" s="2"/>
      <c r="DO95" s="2">
        <v>1</v>
      </c>
      <c r="DP95" s="2"/>
      <c r="DQ95" s="2"/>
      <c r="DR95" s="2"/>
      <c r="DS95" s="2"/>
      <c r="DT95" s="2"/>
      <c r="DU95" s="2"/>
      <c r="DV95" s="2"/>
      <c r="DW95" s="2"/>
      <c r="DX95" s="2"/>
      <c r="DY95" s="2"/>
      <c r="DZ95" s="2"/>
      <c r="EA95" s="2"/>
      <c r="EB95" s="2"/>
      <c r="EC95" s="2"/>
      <c r="ED95" s="2"/>
    </row>
    <row r="96" spans="1:134" x14ac:dyDescent="0.25">
      <c r="A96" s="1" t="s">
        <v>218</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v>30</v>
      </c>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v>30</v>
      </c>
      <c r="CD96" s="2"/>
      <c r="CE96" s="2"/>
      <c r="CF96" s="2"/>
      <c r="CG96" s="2"/>
      <c r="CH96" s="2"/>
      <c r="CI96" s="2"/>
      <c r="CJ96" s="2"/>
      <c r="CK96" s="2"/>
      <c r="CL96" s="2"/>
      <c r="CM96" s="2"/>
      <c r="CN96" s="2"/>
      <c r="CO96" s="2"/>
      <c r="CP96" s="2"/>
      <c r="CQ96" s="2"/>
      <c r="CR96" s="2"/>
      <c r="CS96" s="2"/>
      <c r="CT96" s="2">
        <v>90</v>
      </c>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row>
    <row r="97" spans="1:134"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v>15</v>
      </c>
      <c r="AZ97" s="2"/>
      <c r="BA97" s="2"/>
      <c r="BB97" s="2">
        <v>60</v>
      </c>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v>30</v>
      </c>
      <c r="CD97" s="2"/>
      <c r="CE97" s="2"/>
      <c r="CF97" s="2"/>
      <c r="CG97" s="2"/>
      <c r="CH97" s="2"/>
      <c r="CI97" s="2"/>
      <c r="CJ97" s="2"/>
      <c r="CK97" s="2"/>
      <c r="CL97" s="2"/>
      <c r="CM97" s="2"/>
      <c r="CN97" s="2"/>
      <c r="CO97" s="2"/>
      <c r="CP97" s="2"/>
      <c r="CQ97" s="2"/>
      <c r="CR97" s="2"/>
      <c r="CS97" s="2"/>
      <c r="CT97" s="2">
        <v>30</v>
      </c>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row>
    <row r="98" spans="1:134" x14ac:dyDescent="0.25">
      <c r="A98" s="1" t="s">
        <v>730</v>
      </c>
      <c r="B98" s="1" t="s">
        <v>49</v>
      </c>
      <c r="C98" s="2" t="s">
        <v>63</v>
      </c>
      <c r="D98" s="2">
        <v>500</v>
      </c>
      <c r="E98" s="2">
        <v>200</v>
      </c>
      <c r="F98" s="2" t="s">
        <v>59</v>
      </c>
      <c r="G98" s="2">
        <v>300</v>
      </c>
      <c r="H98" s="2">
        <f t="shared" ref="H98:H129" si="3">SUM(I98:CW98)</f>
        <v>240</v>
      </c>
      <c r="I98" s="2"/>
      <c r="J98" s="2"/>
      <c r="K98" s="2"/>
      <c r="L98" s="2"/>
      <c r="M98" s="2"/>
      <c r="N98" s="2"/>
      <c r="O98" s="2"/>
      <c r="P98" s="2"/>
      <c r="Q98" s="2"/>
      <c r="R98" s="2"/>
      <c r="S98" s="2"/>
      <c r="T98" s="2"/>
      <c r="U98" s="2"/>
      <c r="V98" s="2"/>
      <c r="W98" s="2"/>
      <c r="X98" s="2">
        <v>120</v>
      </c>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v>45</v>
      </c>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v>45</v>
      </c>
      <c r="CD98" s="2"/>
      <c r="CE98" s="2"/>
      <c r="CF98" s="2"/>
      <c r="CG98" s="2"/>
      <c r="CH98" s="2"/>
      <c r="CI98" s="2"/>
      <c r="CJ98" s="2"/>
      <c r="CK98" s="2"/>
      <c r="CL98" s="2"/>
      <c r="CM98" s="2"/>
      <c r="CN98" s="2"/>
      <c r="CO98" s="2"/>
      <c r="CP98" s="2"/>
      <c r="CQ98" s="2"/>
      <c r="CR98" s="2"/>
      <c r="CS98" s="2"/>
      <c r="CT98" s="2">
        <v>30</v>
      </c>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row>
    <row r="99" spans="1:134"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v>15</v>
      </c>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v>150</v>
      </c>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row>
    <row r="100" spans="1:134" x14ac:dyDescent="0.25">
      <c r="A100" s="1" t="s">
        <v>79</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v>15</v>
      </c>
      <c r="AZ100" s="2">
        <v>30</v>
      </c>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v>30</v>
      </c>
      <c r="CA100" s="2"/>
      <c r="CB100" s="2"/>
      <c r="CC100" s="2"/>
      <c r="CD100" s="2"/>
      <c r="CE100" s="2"/>
      <c r="CF100" s="2"/>
      <c r="CG100" s="2"/>
      <c r="CH100" s="2"/>
      <c r="CI100" s="2"/>
      <c r="CJ100" s="2"/>
      <c r="CK100" s="2"/>
      <c r="CL100" s="2"/>
      <c r="CM100" s="2"/>
      <c r="CN100" s="2"/>
      <c r="CO100" s="2"/>
      <c r="CP100" s="2"/>
      <c r="CQ100" s="2"/>
      <c r="CR100" s="2">
        <v>15</v>
      </c>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row>
    <row r="101" spans="1:134" x14ac:dyDescent="0.25">
      <c r="A101" s="1" t="s">
        <v>275</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v>180</v>
      </c>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v>30</v>
      </c>
      <c r="AZ101" s="2"/>
      <c r="BA101" s="2"/>
      <c r="BB101" s="2"/>
      <c r="BC101" s="2"/>
      <c r="BD101" s="2"/>
      <c r="BE101" s="2"/>
      <c r="BF101" s="2"/>
      <c r="BG101" s="2"/>
      <c r="BH101" s="2"/>
      <c r="BI101" s="2"/>
      <c r="BJ101" s="2"/>
      <c r="BK101" s="2"/>
      <c r="BL101" s="2"/>
      <c r="BM101" s="2"/>
      <c r="BN101" s="2"/>
      <c r="BO101" s="2">
        <v>90</v>
      </c>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v>1</v>
      </c>
      <c r="DU101" s="2">
        <v>1</v>
      </c>
      <c r="DV101" s="2"/>
      <c r="DW101" s="2"/>
      <c r="DX101" s="2"/>
      <c r="DY101" s="2"/>
      <c r="DZ101" s="2">
        <v>1</v>
      </c>
      <c r="EA101" s="2"/>
      <c r="EB101" s="2">
        <v>1</v>
      </c>
      <c r="EC101" s="2"/>
      <c r="ED101" s="2"/>
    </row>
    <row r="102" spans="1:134"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v>30</v>
      </c>
      <c r="AB102" s="2"/>
      <c r="AC102" s="2"/>
      <c r="AD102" s="2"/>
      <c r="AE102" s="2"/>
      <c r="AF102" s="2">
        <v>30</v>
      </c>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row>
    <row r="103" spans="1:134"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v>60</v>
      </c>
      <c r="Y103" s="2"/>
      <c r="Z103" s="2"/>
      <c r="AA103" s="2">
        <v>30</v>
      </c>
      <c r="AB103" s="2"/>
      <c r="AC103" s="2"/>
      <c r="AD103" s="2"/>
      <c r="AE103" s="2"/>
      <c r="AF103" s="2">
        <v>30</v>
      </c>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row>
    <row r="104" spans="1:134" x14ac:dyDescent="0.25">
      <c r="A104" s="1" t="s">
        <v>280</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v>15</v>
      </c>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2">
        <v>30</v>
      </c>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v>30</v>
      </c>
      <c r="CA104" s="2"/>
      <c r="CB104" s="2"/>
      <c r="CC104" s="2"/>
      <c r="CD104" s="2"/>
      <c r="CE104" s="2"/>
      <c r="CF104" s="2"/>
      <c r="CG104" s="2"/>
      <c r="CH104" s="2"/>
      <c r="CI104" s="2"/>
      <c r="CJ104" s="1"/>
      <c r="CK104" s="1"/>
      <c r="CL104" s="1"/>
      <c r="CM104" s="1"/>
      <c r="CN104" s="1"/>
      <c r="CO104" s="1"/>
      <c r="CP104" s="1"/>
      <c r="CQ104" s="1"/>
      <c r="CR104" s="2">
        <v>15</v>
      </c>
      <c r="CS104" s="1"/>
      <c r="CT104" s="1"/>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row>
    <row r="105" spans="1:134" x14ac:dyDescent="0.25">
      <c r="A105" s="1" t="s">
        <v>210</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v>30</v>
      </c>
      <c r="AS105" s="2"/>
      <c r="AT105" s="2"/>
      <c r="AU105" s="2"/>
      <c r="AV105" s="2"/>
      <c r="AW105" s="2"/>
      <c r="AX105" s="2"/>
      <c r="AY105" s="2">
        <v>15</v>
      </c>
      <c r="AZ105" s="2"/>
      <c r="BA105" s="2">
        <v>75</v>
      </c>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v>20</v>
      </c>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row>
    <row r="106" spans="1:134" x14ac:dyDescent="0.25">
      <c r="A106" s="1" t="s">
        <v>568</v>
      </c>
      <c r="B106" s="1" t="s">
        <v>53</v>
      </c>
      <c r="C106" s="3" t="s">
        <v>68</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2"/>
      <c r="BW106" s="2"/>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2"/>
      <c r="CY106" s="2"/>
      <c r="CZ106" s="2"/>
      <c r="DA106" s="2"/>
      <c r="DB106" s="2"/>
      <c r="DC106" s="2"/>
      <c r="DD106" s="2"/>
      <c r="DE106" s="2"/>
      <c r="DF106" s="2"/>
      <c r="DG106" s="2"/>
      <c r="DH106" s="2"/>
      <c r="DI106" s="2"/>
      <c r="DJ106" s="2"/>
      <c r="DK106" s="2"/>
      <c r="DL106" s="2"/>
      <c r="DM106" s="2"/>
      <c r="DN106" s="2">
        <v>1</v>
      </c>
      <c r="DO106" s="2"/>
      <c r="DP106" s="2"/>
      <c r="DQ106" s="2"/>
      <c r="DR106" s="2"/>
      <c r="DS106" s="1">
        <v>1</v>
      </c>
      <c r="DT106" s="1"/>
      <c r="DU106" s="1"/>
      <c r="DV106" s="1"/>
      <c r="DW106" s="1">
        <v>1</v>
      </c>
      <c r="DX106" s="1"/>
      <c r="DY106" s="1"/>
      <c r="DZ106" s="1"/>
      <c r="EA106" s="1"/>
      <c r="EB106" s="1"/>
      <c r="EC106" s="2"/>
      <c r="ED106" s="2"/>
    </row>
    <row r="107" spans="1:134"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v>30</v>
      </c>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row>
    <row r="108" spans="1:134" x14ac:dyDescent="0.25">
      <c r="A108" s="1" t="s">
        <v>535</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v>15</v>
      </c>
      <c r="AZ108" s="2"/>
      <c r="BA108" s="2">
        <v>15</v>
      </c>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v>120</v>
      </c>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v>1</v>
      </c>
      <c r="EA108" s="2"/>
      <c r="EB108" s="2"/>
      <c r="EC108" s="2"/>
      <c r="ED108" s="2"/>
    </row>
    <row r="109" spans="1:134" x14ac:dyDescent="0.25">
      <c r="A109" s="1" t="s">
        <v>25</v>
      </c>
      <c r="B109" s="1" t="s">
        <v>50</v>
      </c>
      <c r="C109" s="2" t="s">
        <v>70</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v>15</v>
      </c>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v>15</v>
      </c>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v>15</v>
      </c>
      <c r="CC109" s="2"/>
      <c r="CD109" s="2"/>
      <c r="CE109" s="2"/>
      <c r="CF109" s="2"/>
      <c r="CG109" s="2"/>
      <c r="CH109" s="2"/>
      <c r="CI109" s="2"/>
      <c r="CJ109" s="2"/>
      <c r="CK109" s="2"/>
      <c r="CL109" s="2"/>
      <c r="CM109" s="2"/>
      <c r="CN109" s="2"/>
      <c r="CO109" s="2"/>
      <c r="CP109" s="2"/>
      <c r="CQ109" s="2"/>
      <c r="CR109" s="2"/>
      <c r="CS109" s="2"/>
      <c r="CT109" s="2">
        <v>30</v>
      </c>
      <c r="CU109" s="2"/>
      <c r="CV109" s="2"/>
      <c r="CW109" s="2"/>
      <c r="CX109" s="2">
        <v>6</v>
      </c>
      <c r="CY109" s="2"/>
      <c r="CZ109" s="2"/>
      <c r="DA109" s="2"/>
      <c r="DB109" s="2"/>
      <c r="DC109" s="2"/>
      <c r="DD109" s="2"/>
      <c r="DE109" s="2"/>
      <c r="DF109" s="2"/>
      <c r="DG109" s="2"/>
      <c r="DH109" s="2"/>
      <c r="DI109" s="2">
        <v>6</v>
      </c>
      <c r="DJ109" s="2"/>
      <c r="DK109" s="2"/>
      <c r="DL109" s="2"/>
      <c r="DM109" s="2"/>
      <c r="DN109" s="2"/>
      <c r="DO109" s="2"/>
      <c r="DP109" s="2"/>
      <c r="DQ109" s="2"/>
      <c r="DR109" s="2"/>
      <c r="DS109" s="2"/>
      <c r="DT109" s="2"/>
      <c r="DU109" s="2"/>
      <c r="DV109" s="2"/>
      <c r="DW109" s="2"/>
      <c r="DX109" s="2"/>
      <c r="DY109" s="2"/>
      <c r="DZ109" s="2"/>
      <c r="EA109" s="2"/>
      <c r="EB109" s="2"/>
      <c r="EC109" s="2"/>
      <c r="ED109" s="2"/>
    </row>
    <row r="110" spans="1:134" x14ac:dyDescent="0.25">
      <c r="A110" s="1" t="s">
        <v>540</v>
      </c>
      <c r="B110" s="1" t="s">
        <v>53</v>
      </c>
      <c r="C110" s="2" t="s">
        <v>747</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v>30</v>
      </c>
      <c r="AZ110" s="1"/>
      <c r="BA110" s="1"/>
      <c r="BB110" s="1"/>
      <c r="BC110" s="1"/>
      <c r="BD110" s="1"/>
      <c r="BE110" s="1"/>
      <c r="BF110" s="1"/>
      <c r="BG110" s="1"/>
      <c r="BH110" s="1"/>
      <c r="BI110" s="1"/>
      <c r="BJ110" s="1"/>
      <c r="BK110" s="1"/>
      <c r="BL110" s="1"/>
      <c r="BM110" s="1"/>
      <c r="BN110" s="1"/>
      <c r="BO110" s="1"/>
      <c r="BP110" s="1"/>
      <c r="BQ110" s="1"/>
      <c r="BR110" s="1"/>
      <c r="BS110" s="1"/>
      <c r="BT110" s="1"/>
      <c r="BU110" s="1"/>
      <c r="BV110" s="2"/>
      <c r="BW110" s="2"/>
      <c r="BX110" s="1"/>
      <c r="BY110" s="1"/>
      <c r="BZ110" s="1"/>
      <c r="CA110" s="1"/>
      <c r="CB110" s="1"/>
      <c r="CC110" s="1"/>
      <c r="CD110" s="1"/>
      <c r="CE110" s="1"/>
      <c r="CF110" s="1">
        <v>30</v>
      </c>
      <c r="CG110" s="1"/>
      <c r="CH110" s="1"/>
      <c r="CI110" s="1"/>
      <c r="CJ110" s="1"/>
      <c r="CK110" s="1"/>
      <c r="CL110" s="1"/>
      <c r="CM110" s="1"/>
      <c r="CN110" s="1"/>
      <c r="CO110" s="1"/>
      <c r="CP110" s="1"/>
      <c r="CQ110" s="1"/>
      <c r="CR110" s="1"/>
      <c r="CS110" s="1"/>
      <c r="CT110" s="1"/>
      <c r="CU110" s="1"/>
      <c r="CV110" s="1"/>
      <c r="CW110" s="1"/>
      <c r="CX110" s="2"/>
      <c r="CY110" s="2"/>
      <c r="CZ110" s="2">
        <v>3</v>
      </c>
      <c r="DA110" s="2"/>
      <c r="DB110" s="2"/>
      <c r="DC110" s="2"/>
      <c r="DD110" s="2"/>
      <c r="DE110" s="2"/>
      <c r="DF110" s="2"/>
      <c r="DG110" s="2"/>
      <c r="DH110" s="2"/>
      <c r="DI110" s="2"/>
      <c r="DJ110" s="2"/>
      <c r="DK110" s="2"/>
      <c r="DL110" s="2"/>
      <c r="DM110" s="2"/>
      <c r="DN110" s="2"/>
      <c r="DO110" s="2"/>
      <c r="DP110" s="2"/>
      <c r="DQ110" s="2"/>
      <c r="DR110" s="2"/>
      <c r="DS110" s="1"/>
      <c r="DT110" s="1"/>
      <c r="DU110" s="1"/>
      <c r="DV110" s="1"/>
      <c r="DW110" s="1"/>
      <c r="DX110" s="1"/>
      <c r="DY110" s="1"/>
      <c r="DZ110" s="1"/>
      <c r="EA110" s="1"/>
      <c r="EB110" s="1"/>
      <c r="EC110" s="2"/>
      <c r="ED110" s="2"/>
    </row>
    <row r="111" spans="1:134" x14ac:dyDescent="0.25">
      <c r="A111" s="1" t="s">
        <v>506</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v>30</v>
      </c>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v>30</v>
      </c>
      <c r="CA111" s="2"/>
      <c r="CB111" s="2"/>
      <c r="CC111" s="2"/>
      <c r="CD111" s="2"/>
      <c r="CE111" s="2"/>
      <c r="CF111" s="2"/>
      <c r="CG111" s="2"/>
      <c r="CH111" s="2"/>
      <c r="CI111" s="2"/>
      <c r="CJ111" s="2"/>
      <c r="CK111" s="2"/>
      <c r="CL111" s="2"/>
      <c r="CM111" s="2"/>
      <c r="CN111" s="2"/>
      <c r="CO111" s="2"/>
      <c r="CP111" s="2"/>
      <c r="CQ111" s="2"/>
      <c r="CR111" s="2"/>
      <c r="CS111" s="2"/>
      <c r="CT111" s="2">
        <v>60</v>
      </c>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row>
    <row r="112" spans="1:134" x14ac:dyDescent="0.25">
      <c r="A112" s="1" t="s">
        <v>33</v>
      </c>
      <c r="B112" s="1" t="s">
        <v>54</v>
      </c>
      <c r="C112" s="3" t="s">
        <v>68</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v>30</v>
      </c>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v>1</v>
      </c>
      <c r="DT112" s="2"/>
      <c r="DU112" s="2"/>
      <c r="DV112" s="2"/>
      <c r="DW112" s="2"/>
      <c r="DX112" s="2"/>
      <c r="DY112" s="2"/>
      <c r="DZ112" s="2"/>
      <c r="EA112" s="2"/>
      <c r="EB112" s="2"/>
      <c r="EC112" s="2"/>
      <c r="ED112" s="2"/>
    </row>
    <row r="113" spans="1:134" x14ac:dyDescent="0.25">
      <c r="A113" s="1" t="s">
        <v>155</v>
      </c>
      <c r="B113" s="1" t="s">
        <v>157</v>
      </c>
      <c r="C113" s="3" t="s">
        <v>69</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v>60</v>
      </c>
      <c r="BD113" s="1"/>
      <c r="BE113" s="1"/>
      <c r="BF113" s="1"/>
      <c r="BG113" s="1"/>
      <c r="BH113" s="1"/>
      <c r="BI113" s="1"/>
      <c r="BJ113" s="1"/>
      <c r="BK113" s="1"/>
      <c r="BL113" s="1"/>
      <c r="BM113" s="1"/>
      <c r="BN113" s="1"/>
      <c r="BO113" s="1"/>
      <c r="BP113" s="1"/>
      <c r="BQ113" s="1"/>
      <c r="BR113" s="1"/>
      <c r="BS113" s="1"/>
      <c r="BT113" s="1"/>
      <c r="BU113" s="1">
        <v>30</v>
      </c>
      <c r="BV113" s="2"/>
      <c r="BW113" s="2"/>
      <c r="BX113" s="1"/>
      <c r="BY113" s="1"/>
      <c r="BZ113" s="1">
        <v>15</v>
      </c>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2"/>
      <c r="CY113" s="2"/>
      <c r="CZ113" s="2"/>
      <c r="DA113" s="2"/>
      <c r="DB113" s="2"/>
      <c r="DC113" s="2"/>
      <c r="DD113" s="2"/>
      <c r="DE113" s="2"/>
      <c r="DF113" s="2"/>
      <c r="DG113" s="2"/>
      <c r="DH113" s="2"/>
      <c r="DI113" s="2"/>
      <c r="DJ113" s="2"/>
      <c r="DK113" s="2"/>
      <c r="DL113" s="2"/>
      <c r="DM113" s="2"/>
      <c r="DN113" s="2"/>
      <c r="DO113" s="2"/>
      <c r="DP113" s="2"/>
      <c r="DQ113" s="2"/>
      <c r="DR113" s="2"/>
      <c r="DS113" s="1"/>
      <c r="DT113" s="1"/>
      <c r="DU113" s="1"/>
      <c r="DV113" s="1"/>
      <c r="DW113" s="1"/>
      <c r="DX113" s="1"/>
      <c r="DY113" s="1"/>
      <c r="DZ113" s="1"/>
      <c r="EA113" s="1"/>
      <c r="EB113" s="1"/>
      <c r="EC113" s="2"/>
      <c r="ED113" s="2"/>
    </row>
    <row r="114" spans="1:134" x14ac:dyDescent="0.25">
      <c r="A114" s="1" t="s">
        <v>319</v>
      </c>
      <c r="B114" s="1" t="s">
        <v>157</v>
      </c>
      <c r="C114" s="3" t="s">
        <v>69</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v>60</v>
      </c>
      <c r="BD114" s="1"/>
      <c r="BE114" s="1"/>
      <c r="BF114" s="1"/>
      <c r="BG114" s="1"/>
      <c r="BH114" s="1"/>
      <c r="BI114" s="1"/>
      <c r="BJ114" s="1"/>
      <c r="BK114" s="1"/>
      <c r="BL114" s="1"/>
      <c r="BM114" s="1"/>
      <c r="BN114" s="1"/>
      <c r="BO114" s="1"/>
      <c r="BP114" s="1"/>
      <c r="BQ114" s="1"/>
      <c r="BR114" s="1"/>
      <c r="BS114" s="1"/>
      <c r="BT114" s="1"/>
      <c r="BU114" s="1">
        <v>30</v>
      </c>
      <c r="BV114" s="2"/>
      <c r="BW114" s="2"/>
      <c r="BX114" s="1"/>
      <c r="BY114" s="1"/>
      <c r="BZ114" s="1">
        <v>15</v>
      </c>
      <c r="CA114" s="1"/>
      <c r="CB114" s="1"/>
      <c r="CC114" s="1"/>
      <c r="CD114" s="1"/>
      <c r="CE114" s="1"/>
      <c r="CF114" s="1"/>
      <c r="CG114" s="1"/>
      <c r="CH114" s="1"/>
      <c r="CI114" s="1"/>
      <c r="CJ114" s="1"/>
      <c r="CK114" s="1"/>
      <c r="CL114" s="1"/>
      <c r="CM114" s="1"/>
      <c r="CN114" s="1"/>
      <c r="CO114" s="1"/>
      <c r="CP114" s="1"/>
      <c r="CQ114" s="1"/>
      <c r="CR114" s="1"/>
      <c r="CS114" s="1">
        <v>60</v>
      </c>
      <c r="CT114" s="1"/>
      <c r="CU114" s="1"/>
      <c r="CV114" s="1"/>
      <c r="CW114" s="1"/>
      <c r="CX114" s="2"/>
      <c r="CY114" s="2"/>
      <c r="CZ114" s="2"/>
      <c r="DA114" s="2"/>
      <c r="DB114" s="2"/>
      <c r="DC114" s="2"/>
      <c r="DD114" s="2"/>
      <c r="DE114" s="2"/>
      <c r="DF114" s="2"/>
      <c r="DG114" s="2"/>
      <c r="DH114" s="2"/>
      <c r="DI114" s="2"/>
      <c r="DJ114" s="2"/>
      <c r="DK114" s="2"/>
      <c r="DL114" s="2"/>
      <c r="DM114" s="2"/>
      <c r="DN114" s="2"/>
      <c r="DO114" s="2"/>
      <c r="DP114" s="2"/>
      <c r="DQ114" s="2"/>
      <c r="DR114" s="2"/>
      <c r="DS114" s="1"/>
      <c r="DT114" s="1"/>
      <c r="DU114" s="1"/>
      <c r="DV114" s="1"/>
      <c r="DW114" s="1"/>
      <c r="DX114" s="1"/>
      <c r="DY114" s="1"/>
      <c r="DZ114" s="1"/>
      <c r="EA114" s="1"/>
      <c r="EB114" s="1"/>
      <c r="EC114" s="2"/>
      <c r="ED114" s="2"/>
    </row>
    <row r="115" spans="1:134"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v>15</v>
      </c>
      <c r="AZ115" s="2"/>
      <c r="BA115" s="2"/>
      <c r="BB115" s="2"/>
      <c r="BC115" s="2">
        <v>90</v>
      </c>
      <c r="BD115" s="2"/>
      <c r="BE115" s="2"/>
      <c r="BF115" s="2"/>
      <c r="BG115" s="2"/>
      <c r="BH115" s="2"/>
      <c r="BI115" s="2"/>
      <c r="BJ115" s="2"/>
      <c r="BK115" s="2"/>
      <c r="BL115" s="2"/>
      <c r="BM115" s="2"/>
      <c r="BN115" s="2"/>
      <c r="BO115" s="2"/>
      <c r="BP115" s="2"/>
      <c r="BQ115" s="2"/>
      <c r="BR115" s="2"/>
      <c r="BS115" s="2"/>
      <c r="BT115" s="2"/>
      <c r="BU115" s="2"/>
      <c r="BV115" s="2"/>
      <c r="BW115" s="2"/>
      <c r="BX115" s="2"/>
      <c r="BY115" s="2"/>
      <c r="BZ115" s="2">
        <v>30</v>
      </c>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row>
    <row r="116" spans="1:134"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v>30</v>
      </c>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v>30</v>
      </c>
      <c r="CA116" s="2"/>
      <c r="CB116" s="2"/>
      <c r="CC116" s="2"/>
      <c r="CD116" s="2"/>
      <c r="CE116" s="2"/>
      <c r="CF116" s="2"/>
      <c r="CG116" s="2"/>
      <c r="CH116" s="2"/>
      <c r="CI116" s="2"/>
      <c r="CJ116" s="2"/>
      <c r="CK116" s="2"/>
      <c r="CL116" s="2"/>
      <c r="CM116" s="2"/>
      <c r="CN116" s="2"/>
      <c r="CO116" s="2"/>
      <c r="CP116" s="2"/>
      <c r="CQ116" s="2"/>
      <c r="CR116" s="2">
        <v>15</v>
      </c>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v>1</v>
      </c>
      <c r="DT116" s="2"/>
      <c r="DU116" s="2"/>
      <c r="DV116" s="2"/>
      <c r="DW116" s="2"/>
      <c r="DX116" s="2"/>
      <c r="DY116" s="2"/>
      <c r="DZ116" s="2"/>
      <c r="EA116" s="2"/>
      <c r="EB116" s="2"/>
      <c r="EC116" s="2"/>
      <c r="ED116" s="2"/>
    </row>
    <row r="117" spans="1:134"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v>120</v>
      </c>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row>
    <row r="118" spans="1:134" x14ac:dyDescent="0.25">
      <c r="A118" s="1" t="s">
        <v>507</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v>180</v>
      </c>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row>
    <row r="119" spans="1:134" x14ac:dyDescent="0.25">
      <c r="A119" s="1" t="s">
        <v>279</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v>30</v>
      </c>
      <c r="AZ119" s="2"/>
      <c r="BA119" s="2"/>
      <c r="BB119" s="2"/>
      <c r="BC119" s="2"/>
      <c r="BD119" s="2"/>
      <c r="BE119" s="2"/>
      <c r="BF119" s="2"/>
      <c r="BG119" s="2"/>
      <c r="BH119" s="2"/>
      <c r="BI119" s="2"/>
      <c r="BJ119" s="2"/>
      <c r="BK119" s="2"/>
      <c r="BL119" s="2"/>
      <c r="BM119" s="2"/>
      <c r="BN119" s="2"/>
      <c r="BO119" s="2"/>
      <c r="BP119" s="2">
        <v>60</v>
      </c>
      <c r="BQ119" s="2"/>
      <c r="BR119" s="2"/>
      <c r="BS119" s="2"/>
      <c r="BT119" s="2"/>
      <c r="BU119" s="2"/>
      <c r="BV119" s="2"/>
      <c r="BW119" s="2"/>
      <c r="BX119" s="2"/>
      <c r="BY119" s="2"/>
      <c r="BZ119" s="2"/>
      <c r="CA119" s="2">
        <v>30</v>
      </c>
      <c r="CB119" s="2"/>
      <c r="CC119" s="2"/>
      <c r="CD119" s="2"/>
      <c r="CE119" s="2"/>
      <c r="CF119" s="2"/>
      <c r="CG119" s="2"/>
      <c r="CH119" s="2"/>
      <c r="CI119" s="3"/>
      <c r="CJ119" s="2"/>
      <c r="CK119" s="2"/>
      <c r="CL119" s="2"/>
      <c r="CM119" s="2"/>
      <c r="CN119" s="2"/>
      <c r="CO119" s="2"/>
      <c r="CP119" s="2"/>
      <c r="CQ119" s="2"/>
      <c r="CR119" s="2"/>
      <c r="CS119" s="2"/>
      <c r="CT119" s="2">
        <v>30</v>
      </c>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row>
    <row r="120" spans="1:134"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v>135</v>
      </c>
      <c r="Y120" s="2"/>
      <c r="Z120" s="2"/>
      <c r="AA120" s="2"/>
      <c r="AB120" s="2"/>
      <c r="AC120" s="2"/>
      <c r="AD120" s="2"/>
      <c r="AE120" s="2"/>
      <c r="AF120" s="2"/>
      <c r="AG120" s="2">
        <v>90</v>
      </c>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v>45</v>
      </c>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row>
    <row r="121" spans="1:134" x14ac:dyDescent="0.25">
      <c r="A121" s="1" t="s">
        <v>146</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v>135</v>
      </c>
      <c r="Y121" s="2"/>
      <c r="Z121" s="2"/>
      <c r="AA121" s="2"/>
      <c r="AB121" s="2"/>
      <c r="AC121" s="2"/>
      <c r="AD121" s="2"/>
      <c r="AE121" s="2"/>
      <c r="AF121" s="2"/>
      <c r="AG121" s="2"/>
      <c r="AH121" s="2">
        <v>90</v>
      </c>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v>45</v>
      </c>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row>
    <row r="122" spans="1:134" x14ac:dyDescent="0.25">
      <c r="A122" s="1" t="s">
        <v>517</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v>120</v>
      </c>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row>
    <row r="123" spans="1:134" x14ac:dyDescent="0.25">
      <c r="A123" s="1" t="s">
        <v>45</v>
      </c>
      <c r="B123" s="1" t="s">
        <v>53</v>
      </c>
      <c r="C123" s="3" t="s">
        <v>71</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v>45</v>
      </c>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v>60</v>
      </c>
      <c r="BU123" s="1"/>
      <c r="BV123" s="2"/>
      <c r="BW123" s="2"/>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2"/>
      <c r="CY123" s="2"/>
      <c r="CZ123" s="2"/>
      <c r="DA123" s="2"/>
      <c r="DB123" s="2"/>
      <c r="DC123" s="2"/>
      <c r="DD123" s="2"/>
      <c r="DE123" s="2"/>
      <c r="DF123" s="2"/>
      <c r="DG123" s="2"/>
      <c r="DH123" s="2"/>
      <c r="DI123" s="2"/>
      <c r="DJ123" s="2"/>
      <c r="DK123" s="2"/>
      <c r="DL123" s="2"/>
      <c r="DM123" s="2"/>
      <c r="DN123" s="2"/>
      <c r="DO123" s="2"/>
      <c r="DP123" s="2"/>
      <c r="DQ123" s="2"/>
      <c r="DR123" s="2"/>
      <c r="DS123" s="1"/>
      <c r="DT123" s="1"/>
      <c r="DU123" s="1"/>
      <c r="DV123" s="1"/>
      <c r="DW123" s="1"/>
      <c r="DX123" s="1"/>
      <c r="DY123" s="1"/>
      <c r="DZ123" s="1"/>
      <c r="EA123" s="1"/>
      <c r="EB123" s="1"/>
      <c r="EC123" s="2"/>
      <c r="ED123" s="2"/>
    </row>
    <row r="124" spans="1:134" x14ac:dyDescent="0.25">
      <c r="A124" s="1" t="s">
        <v>259</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v>45</v>
      </c>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2"/>
      <c r="BW124" s="2"/>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2"/>
      <c r="CY124" s="2"/>
      <c r="CZ124" s="2"/>
      <c r="DA124" s="2"/>
      <c r="DB124" s="2"/>
      <c r="DC124" s="2"/>
      <c r="DD124" s="2"/>
      <c r="DE124" s="2"/>
      <c r="DF124" s="2"/>
      <c r="DG124" s="2"/>
      <c r="DH124" s="2"/>
      <c r="DI124" s="2"/>
      <c r="DJ124" s="2"/>
      <c r="DK124" s="2"/>
      <c r="DL124" s="2"/>
      <c r="DM124" s="2"/>
      <c r="DN124" s="2"/>
      <c r="DO124" s="2"/>
      <c r="DP124" s="2"/>
      <c r="DQ124" s="2"/>
      <c r="DR124" s="2"/>
      <c r="DS124" s="1"/>
      <c r="DT124" s="1"/>
      <c r="DU124" s="1"/>
      <c r="DV124" s="1"/>
      <c r="DW124" s="1"/>
      <c r="DX124" s="1"/>
      <c r="DY124" s="1"/>
      <c r="DZ124" s="1"/>
      <c r="EA124" s="1"/>
      <c r="EB124" s="1"/>
      <c r="EC124" s="2"/>
      <c r="ED124" s="2"/>
    </row>
    <row r="125" spans="1:134" x14ac:dyDescent="0.25">
      <c r="A125" s="13" t="s">
        <v>615</v>
      </c>
      <c r="B125" s="1" t="s">
        <v>284</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v>750</v>
      </c>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2"/>
      <c r="BW125" s="2"/>
      <c r="BX125" s="1"/>
      <c r="BY125" s="1"/>
      <c r="BZ125" s="1"/>
      <c r="CA125" s="1"/>
      <c r="CB125" s="1"/>
      <c r="CC125" s="1"/>
      <c r="CD125" s="1"/>
      <c r="CE125" s="1"/>
      <c r="CF125" s="1"/>
      <c r="CG125" s="1"/>
      <c r="CH125" s="1"/>
      <c r="CI125" s="1"/>
      <c r="CJ125" s="1"/>
      <c r="CK125" s="1"/>
      <c r="CL125" s="1"/>
      <c r="CM125" s="1"/>
      <c r="CN125" s="1"/>
      <c r="CO125" s="1">
        <v>500</v>
      </c>
      <c r="CP125" s="1"/>
      <c r="CQ125" s="1"/>
      <c r="CR125" s="1"/>
      <c r="CS125" s="1"/>
      <c r="CT125" s="1"/>
      <c r="CU125" s="1"/>
      <c r="CV125" s="1"/>
      <c r="CW125" s="1"/>
      <c r="CX125" s="2"/>
      <c r="CY125" s="2"/>
      <c r="CZ125" s="2"/>
      <c r="DA125" s="2"/>
      <c r="DB125" s="2"/>
      <c r="DC125" s="2"/>
      <c r="DD125" s="2"/>
      <c r="DE125" s="2">
        <v>1</v>
      </c>
      <c r="DF125" s="2">
        <v>1</v>
      </c>
      <c r="DG125" s="2"/>
      <c r="DH125" s="2"/>
      <c r="DI125" s="2"/>
      <c r="DJ125" s="2"/>
      <c r="DK125" s="2"/>
      <c r="DL125" s="2"/>
      <c r="DM125" s="2"/>
      <c r="DN125" s="2"/>
      <c r="DO125" s="2">
        <v>1</v>
      </c>
      <c r="DP125" s="2"/>
      <c r="DQ125" s="2"/>
      <c r="DR125" s="2"/>
      <c r="DS125" s="1"/>
      <c r="DT125" s="1"/>
      <c r="DU125" s="1"/>
      <c r="DV125" s="1"/>
      <c r="DW125" s="1"/>
      <c r="DX125" s="1"/>
      <c r="DY125" s="1"/>
      <c r="DZ125" s="1"/>
      <c r="EA125" s="1"/>
      <c r="EB125" s="1"/>
      <c r="EC125" s="2"/>
      <c r="ED125" s="2"/>
    </row>
    <row r="126" spans="1:134" x14ac:dyDescent="0.25">
      <c r="A126" s="1" t="s">
        <v>542</v>
      </c>
      <c r="B126" s="1" t="s">
        <v>284</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v>90</v>
      </c>
      <c r="AZ126" s="1">
        <v>300</v>
      </c>
      <c r="BA126" s="1"/>
      <c r="BB126" s="1"/>
      <c r="BC126" s="1"/>
      <c r="BD126" s="1"/>
      <c r="BE126" s="1"/>
      <c r="BF126" s="1"/>
      <c r="BG126" s="1"/>
      <c r="BH126" s="1"/>
      <c r="BI126" s="1"/>
      <c r="BJ126" s="1"/>
      <c r="BK126" s="1"/>
      <c r="BL126" s="1"/>
      <c r="BM126" s="1"/>
      <c r="BN126" s="1"/>
      <c r="BO126" s="1">
        <v>600</v>
      </c>
      <c r="BP126" s="1"/>
      <c r="BQ126" s="1"/>
      <c r="BR126" s="1"/>
      <c r="BS126" s="1"/>
      <c r="BT126" s="1"/>
      <c r="BU126" s="1"/>
      <c r="BV126" s="2"/>
      <c r="BW126" s="2"/>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2"/>
      <c r="CY126" s="2"/>
      <c r="CZ126" s="2"/>
      <c r="DA126" s="2"/>
      <c r="DB126" s="2"/>
      <c r="DC126" s="2"/>
      <c r="DD126" s="2"/>
      <c r="DE126" s="2"/>
      <c r="DF126" s="2"/>
      <c r="DG126" s="2"/>
      <c r="DH126" s="2"/>
      <c r="DI126" s="2"/>
      <c r="DJ126" s="2"/>
      <c r="DK126" s="2"/>
      <c r="DL126" s="2"/>
      <c r="DM126" s="2"/>
      <c r="DN126" s="2"/>
      <c r="DO126" s="2"/>
      <c r="DP126" s="2"/>
      <c r="DQ126" s="2"/>
      <c r="DR126" s="2"/>
      <c r="DS126" s="1"/>
      <c r="DT126" s="1"/>
      <c r="DU126" s="1">
        <v>1</v>
      </c>
      <c r="DV126" s="1"/>
      <c r="DW126" s="1"/>
      <c r="DX126" s="1"/>
      <c r="DY126" s="1"/>
      <c r="DZ126" s="1">
        <v>1</v>
      </c>
      <c r="EA126" s="1"/>
      <c r="EB126" s="1">
        <v>1</v>
      </c>
      <c r="EC126" s="2"/>
      <c r="ED126" s="2"/>
    </row>
    <row r="127" spans="1:134"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v>30</v>
      </c>
      <c r="BB127" s="2"/>
      <c r="BC127" s="2"/>
      <c r="BD127" s="2"/>
      <c r="BE127" s="2"/>
      <c r="BF127" s="2"/>
      <c r="BG127" s="2">
        <v>120</v>
      </c>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row>
    <row r="128" spans="1:134"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v>15</v>
      </c>
      <c r="AZ128" s="2"/>
      <c r="BA128" s="2"/>
      <c r="BB128" s="2"/>
      <c r="BC128" s="2"/>
      <c r="BD128" s="2"/>
      <c r="BE128" s="2">
        <v>90</v>
      </c>
      <c r="BF128" s="2"/>
      <c r="BG128" s="2"/>
      <c r="BH128" s="2"/>
      <c r="BI128" s="2"/>
      <c r="BJ128" s="2"/>
      <c r="BK128" s="2"/>
      <c r="BL128" s="2"/>
      <c r="BM128" s="2"/>
      <c r="BN128" s="2"/>
      <c r="BO128" s="2"/>
      <c r="BP128" s="2"/>
      <c r="BQ128" s="2"/>
      <c r="BR128" s="2"/>
      <c r="BS128" s="2"/>
      <c r="BT128" s="2"/>
      <c r="BU128" s="2"/>
      <c r="BV128" s="2"/>
      <c r="BW128" s="2"/>
      <c r="BX128" s="2"/>
      <c r="BY128" s="2"/>
      <c r="BZ128" s="2">
        <v>15</v>
      </c>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row>
    <row r="129" spans="1:134" x14ac:dyDescent="0.25">
      <c r="A129" s="1" t="s">
        <v>266</v>
      </c>
      <c r="B129" s="11" t="s">
        <v>157</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v>30</v>
      </c>
      <c r="AV129" s="1"/>
      <c r="AW129" s="1"/>
      <c r="AX129" s="1"/>
      <c r="AY129" s="1"/>
      <c r="AZ129" s="1">
        <v>60</v>
      </c>
      <c r="BA129" s="1"/>
      <c r="BB129" s="1"/>
      <c r="BC129" s="1"/>
      <c r="BD129" s="1"/>
      <c r="BE129" s="1"/>
      <c r="BF129" s="1"/>
      <c r="BG129" s="1">
        <v>60</v>
      </c>
      <c r="BH129" s="1"/>
      <c r="BI129" s="1"/>
      <c r="BJ129" s="1"/>
      <c r="BK129" s="1"/>
      <c r="BL129" s="1"/>
      <c r="BM129" s="1"/>
      <c r="BN129" s="1"/>
      <c r="BO129" s="1"/>
      <c r="BP129" s="1"/>
      <c r="BQ129" s="1"/>
      <c r="BR129" s="1"/>
      <c r="BS129" s="1"/>
      <c r="BT129" s="1"/>
      <c r="BU129" s="1"/>
      <c r="BV129" s="2"/>
      <c r="BW129" s="2"/>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2"/>
      <c r="CY129" s="2"/>
      <c r="CZ129" s="2"/>
      <c r="DA129" s="2"/>
      <c r="DB129" s="2"/>
      <c r="DC129" s="2"/>
      <c r="DD129" s="2"/>
      <c r="DE129" s="2"/>
      <c r="DF129" s="2"/>
      <c r="DG129" s="2"/>
      <c r="DH129" s="2"/>
      <c r="DI129" s="2"/>
      <c r="DJ129" s="2"/>
      <c r="DK129" s="2"/>
      <c r="DL129" s="2"/>
      <c r="DM129" s="2"/>
      <c r="DN129" s="2"/>
      <c r="DO129" s="2"/>
      <c r="DP129" s="2"/>
      <c r="DQ129" s="2"/>
      <c r="DR129" s="2"/>
      <c r="DS129" s="1"/>
      <c r="DT129" s="1"/>
      <c r="DU129" s="1"/>
      <c r="DV129" s="1"/>
      <c r="DW129" s="1"/>
      <c r="DX129" s="1"/>
      <c r="DY129" s="1"/>
      <c r="DZ129" s="1"/>
      <c r="EA129" s="1"/>
      <c r="EB129" s="1"/>
      <c r="EC129" s="2"/>
      <c r="ED129" s="2"/>
    </row>
    <row r="130" spans="1:134" x14ac:dyDescent="0.25">
      <c r="A130" s="1" t="s">
        <v>589</v>
      </c>
      <c r="B130" s="1" t="s">
        <v>157</v>
      </c>
      <c r="C130" s="2" t="s">
        <v>63</v>
      </c>
      <c r="D130" s="2">
        <v>400</v>
      </c>
      <c r="E130" s="2">
        <v>160</v>
      </c>
      <c r="F130" s="2" t="s">
        <v>59</v>
      </c>
      <c r="G130" s="2">
        <v>240</v>
      </c>
      <c r="H130" s="2">
        <f t="shared" ref="H130:H153" si="4">SUM(I130:CW130)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v>60</v>
      </c>
      <c r="BA130" s="1"/>
      <c r="BB130" s="1"/>
      <c r="BC130" s="1"/>
      <c r="BD130" s="1"/>
      <c r="BE130" s="1"/>
      <c r="BF130" s="1"/>
      <c r="BG130" s="1">
        <v>60</v>
      </c>
      <c r="BH130" s="1"/>
      <c r="BI130" s="1"/>
      <c r="BJ130" s="1"/>
      <c r="BK130" s="1">
        <v>30</v>
      </c>
      <c r="BL130" s="1"/>
      <c r="BM130" s="1"/>
      <c r="BN130" s="1"/>
      <c r="BO130" s="1"/>
      <c r="BP130" s="1"/>
      <c r="BQ130" s="1"/>
      <c r="BR130" s="1"/>
      <c r="BS130" s="1"/>
      <c r="BT130" s="1"/>
      <c r="BU130" s="1"/>
      <c r="BV130" s="2"/>
      <c r="BW130" s="2"/>
      <c r="BX130" s="1"/>
      <c r="BY130" s="1"/>
      <c r="BZ130" s="1"/>
      <c r="CA130" s="1"/>
      <c r="CB130" s="1"/>
      <c r="CC130" s="1"/>
      <c r="CD130" s="1"/>
      <c r="CE130" s="1"/>
      <c r="CF130" s="1"/>
      <c r="CG130" s="1"/>
      <c r="CH130" s="1"/>
      <c r="CI130" s="1"/>
      <c r="CJ130" s="1"/>
      <c r="CK130" s="1"/>
      <c r="CL130" s="1"/>
      <c r="CM130" s="1"/>
      <c r="CN130" s="1"/>
      <c r="CO130" s="1"/>
      <c r="CP130" s="1"/>
      <c r="CQ130" s="1"/>
      <c r="CR130" s="1"/>
      <c r="CS130" s="1">
        <v>30</v>
      </c>
      <c r="CT130" s="1"/>
      <c r="CU130" s="1"/>
      <c r="CV130" s="1"/>
      <c r="CW130" s="1"/>
      <c r="CX130" s="2"/>
      <c r="CY130" s="2"/>
      <c r="CZ130" s="2"/>
      <c r="DA130" s="2"/>
      <c r="DB130" s="2"/>
      <c r="DC130" s="2"/>
      <c r="DD130" s="2"/>
      <c r="DE130" s="2"/>
      <c r="DF130" s="2"/>
      <c r="DG130" s="2"/>
      <c r="DH130" s="2"/>
      <c r="DI130" s="2"/>
      <c r="DJ130" s="2"/>
      <c r="DK130" s="2"/>
      <c r="DL130" s="2"/>
      <c r="DM130" s="2"/>
      <c r="DN130" s="2"/>
      <c r="DO130" s="2"/>
      <c r="DP130" s="2"/>
      <c r="DQ130" s="2"/>
      <c r="DR130" s="2"/>
      <c r="DS130" s="1"/>
      <c r="DT130" s="1"/>
      <c r="DU130" s="1"/>
      <c r="DV130" s="1"/>
      <c r="DW130" s="1"/>
      <c r="DX130" s="1"/>
      <c r="DY130" s="1"/>
      <c r="DZ130" s="1"/>
      <c r="EA130" s="1"/>
      <c r="EB130" s="1"/>
      <c r="EC130" s="2"/>
      <c r="ED130" s="2"/>
    </row>
    <row r="131" spans="1:134" x14ac:dyDescent="0.25">
      <c r="A131" s="1" t="s">
        <v>314</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v>30</v>
      </c>
      <c r="AK131" s="1"/>
      <c r="AL131" s="1"/>
      <c r="AM131" s="1"/>
      <c r="AN131" s="1"/>
      <c r="AO131" s="1"/>
      <c r="AP131" s="1"/>
      <c r="AQ131" s="1"/>
      <c r="AR131" s="1"/>
      <c r="AS131" s="1"/>
      <c r="AT131" s="1"/>
      <c r="AU131" s="1"/>
      <c r="AV131" s="1"/>
      <c r="AW131" s="1"/>
      <c r="AX131" s="1"/>
      <c r="AY131" s="1">
        <v>30</v>
      </c>
      <c r="AZ131" s="1"/>
      <c r="BA131" s="1"/>
      <c r="BB131" s="1"/>
      <c r="BC131" s="1"/>
      <c r="BD131" s="1"/>
      <c r="BE131" s="1"/>
      <c r="BF131" s="1"/>
      <c r="BG131" s="1"/>
      <c r="BH131" s="1"/>
      <c r="BI131" s="1"/>
      <c r="BJ131" s="1"/>
      <c r="BK131" s="1"/>
      <c r="BL131" s="1"/>
      <c r="BM131" s="1"/>
      <c r="BN131" s="1"/>
      <c r="BO131" s="1"/>
      <c r="BP131" s="1"/>
      <c r="BQ131" s="1"/>
      <c r="BR131" s="1"/>
      <c r="BS131" s="1"/>
      <c r="BT131" s="1"/>
      <c r="BU131" s="1"/>
      <c r="BV131" s="2"/>
      <c r="BW131" s="2"/>
      <c r="BX131" s="1"/>
      <c r="BY131" s="1"/>
      <c r="BZ131" s="1">
        <v>15</v>
      </c>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2"/>
      <c r="CY131" s="2"/>
      <c r="CZ131" s="2"/>
      <c r="DA131" s="2"/>
      <c r="DB131" s="2"/>
      <c r="DC131" s="2"/>
      <c r="DD131" s="2"/>
      <c r="DE131" s="2"/>
      <c r="DF131" s="2"/>
      <c r="DG131" s="2"/>
      <c r="DH131" s="2"/>
      <c r="DI131" s="2"/>
      <c r="DJ131" s="2"/>
      <c r="DK131" s="2"/>
      <c r="DL131" s="2"/>
      <c r="DM131" s="2"/>
      <c r="DN131" s="2"/>
      <c r="DO131" s="2"/>
      <c r="DP131" s="2"/>
      <c r="DQ131" s="2"/>
      <c r="DR131" s="2"/>
      <c r="DS131" s="1"/>
      <c r="DT131" s="1"/>
      <c r="DU131" s="1"/>
      <c r="DV131" s="1"/>
      <c r="DW131" s="1"/>
      <c r="DX131" s="1"/>
      <c r="DY131" s="1"/>
      <c r="DZ131" s="1"/>
      <c r="EA131" s="1"/>
      <c r="EB131" s="1"/>
      <c r="EC131" s="2"/>
      <c r="ED131" s="2"/>
    </row>
    <row r="132" spans="1:134"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v>60</v>
      </c>
      <c r="AA132" s="2"/>
      <c r="AB132" s="2"/>
      <c r="AC132" s="2"/>
      <c r="AD132" s="2"/>
      <c r="AE132" s="2"/>
      <c r="AF132" s="2"/>
      <c r="AG132" s="2"/>
      <c r="AH132" s="2">
        <v>15</v>
      </c>
      <c r="AI132" s="2"/>
      <c r="AJ132" s="2"/>
      <c r="AK132" s="2"/>
      <c r="AL132" s="2"/>
      <c r="AM132" s="2"/>
      <c r="AN132" s="2"/>
      <c r="AO132" s="2"/>
      <c r="AP132" s="2"/>
      <c r="AQ132" s="2"/>
      <c r="AR132" s="2"/>
      <c r="AS132" s="2"/>
      <c r="AT132" s="2"/>
      <c r="AU132" s="2"/>
      <c r="AV132" s="2"/>
      <c r="AW132" s="2"/>
      <c r="AX132" s="2"/>
      <c r="AY132" s="2">
        <v>15</v>
      </c>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v>60</v>
      </c>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row>
    <row r="133" spans="1:134" x14ac:dyDescent="0.25">
      <c r="A133" s="1" t="s">
        <v>223</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v>30</v>
      </c>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v>30</v>
      </c>
      <c r="CC133" s="2"/>
      <c r="CD133" s="2"/>
      <c r="CE133" s="2"/>
      <c r="CF133" s="2"/>
      <c r="CG133" s="2"/>
      <c r="CH133" s="2"/>
      <c r="CI133" s="2"/>
      <c r="CJ133" s="2"/>
      <c r="CK133" s="2"/>
      <c r="CL133" s="2"/>
      <c r="CM133" s="2"/>
      <c r="CN133" s="2"/>
      <c r="CO133" s="2"/>
      <c r="CP133" s="2"/>
      <c r="CQ133" s="2"/>
      <c r="CR133" s="2">
        <v>15</v>
      </c>
      <c r="CS133" s="2">
        <v>60</v>
      </c>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row>
    <row r="134" spans="1:134"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v>120</v>
      </c>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v>15</v>
      </c>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row>
    <row r="135" spans="1:134" x14ac:dyDescent="0.25">
      <c r="A135" s="1" t="s">
        <v>200</v>
      </c>
      <c r="B135" s="1" t="s">
        <v>203</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v>300</v>
      </c>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2"/>
      <c r="BW135" s="2"/>
      <c r="BX135" s="1">
        <v>150</v>
      </c>
      <c r="BY135" s="1">
        <v>30</v>
      </c>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2"/>
      <c r="CY135" s="2"/>
      <c r="CZ135" s="2"/>
      <c r="DA135" s="2"/>
      <c r="DB135" s="2"/>
      <c r="DC135" s="2"/>
      <c r="DD135" s="2"/>
      <c r="DE135" s="2"/>
      <c r="DF135" s="2"/>
      <c r="DG135" s="2"/>
      <c r="DH135" s="2"/>
      <c r="DI135" s="2"/>
      <c r="DJ135" s="2"/>
      <c r="DK135" s="2"/>
      <c r="DL135" s="2"/>
      <c r="DM135" s="2"/>
      <c r="DN135" s="2"/>
      <c r="DO135" s="2"/>
      <c r="DP135" s="2"/>
      <c r="DQ135" s="2"/>
      <c r="DR135" s="2"/>
      <c r="DS135" s="1"/>
      <c r="DT135" s="1"/>
      <c r="DU135" s="1"/>
      <c r="DV135" s="1"/>
      <c r="DW135" s="1"/>
      <c r="DX135" s="1"/>
      <c r="DY135" s="1"/>
      <c r="DZ135" s="1"/>
      <c r="EA135" s="1"/>
      <c r="EB135" s="1"/>
      <c r="EC135" s="2"/>
      <c r="ED135" s="2"/>
    </row>
    <row r="136" spans="1:134" x14ac:dyDescent="0.25">
      <c r="A136" s="1" t="s">
        <v>299</v>
      </c>
      <c r="B136" s="1" t="s">
        <v>203</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2"/>
      <c r="BW136" s="2"/>
      <c r="BX136" s="1">
        <v>150</v>
      </c>
      <c r="BY136" s="1">
        <v>30</v>
      </c>
      <c r="BZ136" s="1"/>
      <c r="CA136" s="1"/>
      <c r="CB136" s="1"/>
      <c r="CC136" s="1"/>
      <c r="CD136" s="1"/>
      <c r="CE136" s="1"/>
      <c r="CF136" s="1"/>
      <c r="CG136" s="1"/>
      <c r="CH136" s="1"/>
      <c r="CI136" s="1"/>
      <c r="CJ136" s="1"/>
      <c r="CK136" s="1"/>
      <c r="CL136" s="1"/>
      <c r="CM136" s="1"/>
      <c r="CN136" s="1"/>
      <c r="CO136" s="1">
        <v>300</v>
      </c>
      <c r="CP136" s="1"/>
      <c r="CQ136" s="1"/>
      <c r="CR136" s="1"/>
      <c r="CS136" s="1"/>
      <c r="CT136" s="1"/>
      <c r="CU136" s="1"/>
      <c r="CV136" s="1"/>
      <c r="CW136" s="1"/>
      <c r="CX136" s="2"/>
      <c r="CY136" s="2"/>
      <c r="CZ136" s="2"/>
      <c r="DA136" s="2"/>
      <c r="DB136" s="2"/>
      <c r="DC136" s="2"/>
      <c r="DD136" s="2"/>
      <c r="DE136" s="2"/>
      <c r="DF136" s="2"/>
      <c r="DG136" s="2"/>
      <c r="DH136" s="2"/>
      <c r="DI136" s="2"/>
      <c r="DJ136" s="2"/>
      <c r="DK136" s="2"/>
      <c r="DL136" s="2"/>
      <c r="DM136" s="2"/>
      <c r="DN136" s="2"/>
      <c r="DO136" s="2"/>
      <c r="DP136" s="2"/>
      <c r="DQ136" s="2"/>
      <c r="DR136" s="2"/>
      <c r="DS136" s="1"/>
      <c r="DT136" s="1"/>
      <c r="DU136" s="1"/>
      <c r="DV136" s="1"/>
      <c r="DW136" s="1"/>
      <c r="DX136" s="1"/>
      <c r="DY136" s="1"/>
      <c r="DZ136" s="1"/>
      <c r="EA136" s="1"/>
      <c r="EB136" s="1"/>
      <c r="EC136" s="2"/>
      <c r="ED136" s="2"/>
    </row>
    <row r="137" spans="1:134" x14ac:dyDescent="0.25">
      <c r="A137" s="13" t="s">
        <v>613</v>
      </c>
      <c r="B137" s="1" t="s">
        <v>284</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v>750</v>
      </c>
      <c r="W137" s="1"/>
      <c r="X137" s="1"/>
      <c r="Y137" s="1"/>
      <c r="Z137" s="1"/>
      <c r="AA137" s="1">
        <v>100</v>
      </c>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2"/>
      <c r="BW137" s="2"/>
      <c r="BX137" s="1"/>
      <c r="BY137" s="1"/>
      <c r="BZ137" s="1"/>
      <c r="CA137" s="1"/>
      <c r="CB137" s="1"/>
      <c r="CC137" s="1"/>
      <c r="CD137" s="1"/>
      <c r="CE137" s="1"/>
      <c r="CF137" s="1"/>
      <c r="CG137" s="1"/>
      <c r="CH137" s="1"/>
      <c r="CI137" s="1"/>
      <c r="CJ137" s="1"/>
      <c r="CK137" s="1"/>
      <c r="CL137" s="1"/>
      <c r="CM137" s="1"/>
      <c r="CN137" s="1"/>
      <c r="CO137" s="1">
        <v>750</v>
      </c>
      <c r="CP137" s="1"/>
      <c r="CQ137" s="1"/>
      <c r="CR137" s="1"/>
      <c r="CS137" s="1"/>
      <c r="CT137" s="1"/>
      <c r="CU137" s="1"/>
      <c r="CV137" s="1"/>
      <c r="CW137" s="1"/>
      <c r="CX137" s="2"/>
      <c r="CY137" s="2"/>
      <c r="CZ137" s="2"/>
      <c r="DA137" s="2"/>
      <c r="DB137" s="2"/>
      <c r="DC137" s="2"/>
      <c r="DD137" s="2"/>
      <c r="DE137" s="2"/>
      <c r="DF137" s="2"/>
      <c r="DG137" s="2"/>
      <c r="DH137" s="2"/>
      <c r="DI137" s="2"/>
      <c r="DJ137" s="2"/>
      <c r="DK137" s="2"/>
      <c r="DL137" s="2"/>
      <c r="DM137" s="2"/>
      <c r="DN137" s="2"/>
      <c r="DO137" s="2"/>
      <c r="DP137" s="2"/>
      <c r="DQ137" s="2"/>
      <c r="DR137" s="2"/>
      <c r="DS137" s="1"/>
      <c r="DT137" s="1"/>
      <c r="DU137" s="1"/>
      <c r="DV137" s="1"/>
      <c r="DW137" s="1"/>
      <c r="DX137" s="1"/>
      <c r="DY137" s="1"/>
      <c r="DZ137" s="1"/>
      <c r="EA137" s="1"/>
      <c r="EB137" s="1"/>
      <c r="EC137" s="2"/>
      <c r="ED137" s="2"/>
    </row>
    <row r="138" spans="1:134"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v>30</v>
      </c>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v>30</v>
      </c>
      <c r="CA138" s="2"/>
      <c r="CB138" s="2"/>
      <c r="CC138" s="2"/>
      <c r="CD138" s="2"/>
      <c r="CE138" s="2"/>
      <c r="CF138" s="2"/>
      <c r="CG138" s="2"/>
      <c r="CH138" s="2"/>
      <c r="CI138" s="2"/>
      <c r="CJ138" s="2"/>
      <c r="CK138" s="2"/>
      <c r="CL138" s="2"/>
      <c r="CM138" s="2"/>
      <c r="CN138" s="2"/>
      <c r="CO138" s="2"/>
      <c r="CP138" s="2"/>
      <c r="CQ138" s="2"/>
      <c r="CR138" s="2"/>
      <c r="CS138" s="2"/>
      <c r="CT138" s="2">
        <v>60</v>
      </c>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row>
    <row r="139" spans="1:134" x14ac:dyDescent="0.25">
      <c r="A139" s="1" t="s">
        <v>593</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v>15</v>
      </c>
      <c r="AD139" s="2"/>
      <c r="AE139" s="2"/>
      <c r="AF139" s="2"/>
      <c r="AG139" s="2"/>
      <c r="AH139" s="2"/>
      <c r="AI139" s="2"/>
      <c r="AJ139" s="2"/>
      <c r="AK139" s="2"/>
      <c r="AL139" s="2"/>
      <c r="AM139" s="2"/>
      <c r="AN139" s="2"/>
      <c r="AO139" s="2"/>
      <c r="AP139" s="2"/>
      <c r="AQ139" s="2"/>
      <c r="AR139" s="2"/>
      <c r="AS139" s="2"/>
      <c r="AT139" s="2"/>
      <c r="AU139" s="2"/>
      <c r="AV139" s="2"/>
      <c r="AW139" s="2"/>
      <c r="AX139" s="2"/>
      <c r="AY139" s="2">
        <v>15</v>
      </c>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v>180</v>
      </c>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row>
    <row r="140" spans="1:134" x14ac:dyDescent="0.25">
      <c r="A140" s="1" t="s">
        <v>431</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v>15</v>
      </c>
      <c r="AW140" s="1"/>
      <c r="AX140" s="1"/>
      <c r="AY140" s="1">
        <v>30</v>
      </c>
      <c r="AZ140" s="1"/>
      <c r="BA140" s="1"/>
      <c r="BB140" s="1"/>
      <c r="BC140" s="1"/>
      <c r="BD140" s="1"/>
      <c r="BE140" s="1"/>
      <c r="BF140" s="1"/>
      <c r="BG140" s="1"/>
      <c r="BH140" s="1"/>
      <c r="BI140" s="1"/>
      <c r="BJ140" s="1"/>
      <c r="BK140" s="1"/>
      <c r="BL140" s="1"/>
      <c r="BM140" s="1"/>
      <c r="BN140" s="1"/>
      <c r="BO140" s="1"/>
      <c r="BP140" s="1"/>
      <c r="BQ140" s="1"/>
      <c r="BR140" s="1"/>
      <c r="BS140" s="1"/>
      <c r="BT140" s="1"/>
      <c r="BU140" s="1"/>
      <c r="BV140" s="2"/>
      <c r="BW140" s="2"/>
      <c r="BX140" s="1"/>
      <c r="BY140" s="1"/>
      <c r="BZ140" s="1"/>
      <c r="CA140" s="1"/>
      <c r="CB140" s="1">
        <v>30</v>
      </c>
      <c r="CC140" s="1"/>
      <c r="CD140" s="1"/>
      <c r="CE140" s="1"/>
      <c r="CF140" s="1"/>
      <c r="CG140" s="1"/>
      <c r="CH140" s="1"/>
      <c r="CI140" s="1"/>
      <c r="CJ140" s="1"/>
      <c r="CK140" s="1"/>
      <c r="CL140" s="1"/>
      <c r="CM140" s="1"/>
      <c r="CN140" s="1"/>
      <c r="CO140" s="1"/>
      <c r="CP140" s="1"/>
      <c r="CQ140" s="1"/>
      <c r="CR140" s="1"/>
      <c r="CS140" s="1"/>
      <c r="CT140" s="1">
        <v>60</v>
      </c>
      <c r="CU140" s="1"/>
      <c r="CV140" s="1"/>
      <c r="CW140" s="1"/>
      <c r="CX140" s="2"/>
      <c r="CY140" s="2"/>
      <c r="CZ140" s="2"/>
      <c r="DA140" s="2"/>
      <c r="DB140" s="2"/>
      <c r="DC140" s="2"/>
      <c r="DD140" s="2"/>
      <c r="DE140" s="2"/>
      <c r="DF140" s="2"/>
      <c r="DG140" s="2"/>
      <c r="DH140" s="2"/>
      <c r="DI140" s="2"/>
      <c r="DJ140" s="2"/>
      <c r="DK140" s="2"/>
      <c r="DL140" s="2"/>
      <c r="DM140" s="2"/>
      <c r="DN140" s="2"/>
      <c r="DO140" s="2"/>
      <c r="DP140" s="2"/>
      <c r="DQ140" s="2"/>
      <c r="DR140" s="2"/>
      <c r="DS140" s="1"/>
      <c r="DT140" s="1"/>
      <c r="DU140" s="1"/>
      <c r="DV140" s="1"/>
      <c r="DW140" s="1"/>
      <c r="DX140" s="1"/>
      <c r="DY140" s="1"/>
      <c r="DZ140" s="1"/>
      <c r="EA140" s="1"/>
      <c r="EB140" s="1"/>
      <c r="EC140" s="2"/>
      <c r="ED140" s="2"/>
    </row>
    <row r="141" spans="1:134" x14ac:dyDescent="0.25">
      <c r="A141" s="1" t="s">
        <v>620</v>
      </c>
      <c r="B141" s="1" t="s">
        <v>55</v>
      </c>
      <c r="C141" s="3" t="s">
        <v>69</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v>240</v>
      </c>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2"/>
      <c r="BW141" s="2"/>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2"/>
      <c r="CY141" s="2"/>
      <c r="CZ141" s="2"/>
      <c r="DA141" s="2"/>
      <c r="DB141" s="2"/>
      <c r="DC141" s="2"/>
      <c r="DD141" s="2"/>
      <c r="DE141" s="2"/>
      <c r="DF141" s="2"/>
      <c r="DG141" s="2"/>
      <c r="DH141" s="2"/>
      <c r="DI141" s="2"/>
      <c r="DJ141" s="2">
        <v>1</v>
      </c>
      <c r="DK141" s="2"/>
      <c r="DL141" s="2"/>
      <c r="DM141" s="2"/>
      <c r="DN141" s="2"/>
      <c r="DO141" s="2"/>
      <c r="DP141" s="2"/>
      <c r="DQ141" s="2">
        <v>4</v>
      </c>
      <c r="DR141" s="2"/>
      <c r="DS141" s="1"/>
      <c r="DT141" s="1"/>
      <c r="DU141" s="1"/>
      <c r="DV141" s="1"/>
      <c r="DW141" s="1"/>
      <c r="DX141" s="1">
        <v>1</v>
      </c>
      <c r="DY141" s="1"/>
      <c r="DZ141" s="1"/>
      <c r="EA141" s="1"/>
      <c r="EB141" s="1"/>
      <c r="EC141" s="2">
        <v>1</v>
      </c>
      <c r="ED141" s="2"/>
    </row>
    <row r="142" spans="1:134" x14ac:dyDescent="0.25">
      <c r="A142" s="1" t="s">
        <v>196</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v>15</v>
      </c>
      <c r="AZ142" s="1"/>
      <c r="BA142" s="1"/>
      <c r="BB142" s="1"/>
      <c r="BC142" s="1"/>
      <c r="BD142" s="1"/>
      <c r="BE142" s="1"/>
      <c r="BF142" s="1"/>
      <c r="BG142" s="1"/>
      <c r="BH142" s="1"/>
      <c r="BI142" s="1"/>
      <c r="BJ142" s="1">
        <v>30</v>
      </c>
      <c r="BK142" s="1"/>
      <c r="BL142" s="1"/>
      <c r="BM142" s="1"/>
      <c r="BN142" s="1"/>
      <c r="BO142" s="1"/>
      <c r="BP142" s="1"/>
      <c r="BQ142" s="1"/>
      <c r="BR142" s="1"/>
      <c r="BS142" s="1"/>
      <c r="BT142" s="1"/>
      <c r="BU142" s="1"/>
      <c r="BV142" s="2"/>
      <c r="BW142" s="2"/>
      <c r="BX142" s="1"/>
      <c r="BY142" s="1"/>
      <c r="BZ142" s="1">
        <v>15</v>
      </c>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2"/>
      <c r="CY142" s="2"/>
      <c r="CZ142" s="2"/>
      <c r="DA142" s="2"/>
      <c r="DB142" s="2"/>
      <c r="DC142" s="2"/>
      <c r="DD142" s="2"/>
      <c r="DE142" s="2"/>
      <c r="DF142" s="2"/>
      <c r="DG142" s="2"/>
      <c r="DH142" s="2"/>
      <c r="DI142" s="2"/>
      <c r="DJ142" s="2"/>
      <c r="DK142" s="2"/>
      <c r="DL142" s="2"/>
      <c r="DM142" s="2"/>
      <c r="DN142" s="2"/>
      <c r="DO142" s="2"/>
      <c r="DP142" s="2"/>
      <c r="DQ142" s="2"/>
      <c r="DR142" s="2"/>
      <c r="DS142" s="1"/>
      <c r="DT142" s="1"/>
      <c r="DU142" s="1"/>
      <c r="DV142" s="1"/>
      <c r="DW142" s="1"/>
      <c r="DX142" s="1"/>
      <c r="DY142" s="1"/>
      <c r="DZ142" s="1"/>
      <c r="EA142" s="1"/>
      <c r="EB142" s="1"/>
      <c r="EC142" s="2"/>
      <c r="ED142" s="2"/>
    </row>
    <row r="143" spans="1:134" x14ac:dyDescent="0.25">
      <c r="A143" s="1" t="s">
        <v>543</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v>15</v>
      </c>
      <c r="AZ143" s="1">
        <v>30</v>
      </c>
      <c r="BA143" s="1"/>
      <c r="BB143" s="1"/>
      <c r="BC143" s="1"/>
      <c r="BD143" s="1"/>
      <c r="BE143" s="1"/>
      <c r="BF143" s="1"/>
      <c r="BG143" s="1"/>
      <c r="BH143" s="1"/>
      <c r="BI143" s="1"/>
      <c r="BJ143" s="1"/>
      <c r="BK143" s="1"/>
      <c r="BL143" s="1"/>
      <c r="BM143" s="1"/>
      <c r="BN143" s="1"/>
      <c r="BO143" s="1">
        <v>30</v>
      </c>
      <c r="BP143" s="1"/>
      <c r="BQ143" s="1"/>
      <c r="BR143" s="1"/>
      <c r="BS143" s="1"/>
      <c r="BT143" s="1"/>
      <c r="BU143" s="1"/>
      <c r="BV143" s="2"/>
      <c r="BW143" s="2"/>
      <c r="BX143" s="1"/>
      <c r="BY143" s="1">
        <v>15</v>
      </c>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2"/>
      <c r="CY143" s="2"/>
      <c r="CZ143" s="2"/>
      <c r="DA143" s="2"/>
      <c r="DB143" s="2"/>
      <c r="DC143" s="2"/>
      <c r="DD143" s="2"/>
      <c r="DE143" s="2"/>
      <c r="DF143" s="2"/>
      <c r="DG143" s="2"/>
      <c r="DH143" s="2"/>
      <c r="DI143" s="2"/>
      <c r="DJ143" s="2"/>
      <c r="DK143" s="2"/>
      <c r="DL143" s="2"/>
      <c r="DM143" s="2"/>
      <c r="DN143" s="2"/>
      <c r="DO143" s="2"/>
      <c r="DP143" s="2"/>
      <c r="DQ143" s="2"/>
      <c r="DR143" s="2"/>
      <c r="DS143" s="1"/>
      <c r="DT143" s="1"/>
      <c r="DU143" s="1">
        <v>1</v>
      </c>
      <c r="DV143" s="1"/>
      <c r="DW143" s="1"/>
      <c r="DX143" s="1"/>
      <c r="DY143" s="1"/>
      <c r="DZ143" s="1">
        <v>1</v>
      </c>
      <c r="EA143" s="1"/>
      <c r="EB143" s="1">
        <v>1</v>
      </c>
      <c r="EC143" s="2"/>
      <c r="ED143" s="2"/>
    </row>
    <row r="144" spans="1:134" x14ac:dyDescent="0.25">
      <c r="A144" s="1" t="s">
        <v>325</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v>30</v>
      </c>
      <c r="AZ144" s="1"/>
      <c r="BA144" s="1"/>
      <c r="BB144" s="1"/>
      <c r="BC144" s="1"/>
      <c r="BD144" s="1"/>
      <c r="BE144" s="1"/>
      <c r="BF144" s="1"/>
      <c r="BG144" s="1"/>
      <c r="BH144" s="1"/>
      <c r="BI144" s="1">
        <v>30</v>
      </c>
      <c r="BJ144" s="1"/>
      <c r="BK144" s="1"/>
      <c r="BL144" s="1"/>
      <c r="BM144" s="1"/>
      <c r="BN144" s="1"/>
      <c r="BO144" s="1"/>
      <c r="BP144" s="1"/>
      <c r="BQ144" s="1"/>
      <c r="BR144" s="1"/>
      <c r="BS144" s="1"/>
      <c r="BT144" s="1"/>
      <c r="BU144" s="1"/>
      <c r="BV144" s="2"/>
      <c r="BW144" s="2"/>
      <c r="BX144" s="1"/>
      <c r="BY144" s="1"/>
      <c r="BZ144" s="1"/>
      <c r="CA144" s="1"/>
      <c r="CB144" s="1"/>
      <c r="CC144" s="1"/>
      <c r="CD144" s="1"/>
      <c r="CE144" s="1"/>
      <c r="CF144" s="1"/>
      <c r="CG144" s="1">
        <v>15</v>
      </c>
      <c r="CH144" s="1"/>
      <c r="CI144" s="1"/>
      <c r="CJ144" s="1"/>
      <c r="CK144" s="1"/>
      <c r="CL144" s="1"/>
      <c r="CM144" s="1"/>
      <c r="CN144" s="1"/>
      <c r="CO144" s="1"/>
      <c r="CP144" s="1"/>
      <c r="CQ144" s="1"/>
      <c r="CR144" s="1"/>
      <c r="CS144" s="1"/>
      <c r="CT144" s="1"/>
      <c r="CU144" s="1"/>
      <c r="CV144" s="1"/>
      <c r="CW144" s="1"/>
      <c r="CX144" s="2"/>
      <c r="CY144" s="2"/>
      <c r="CZ144" s="2"/>
      <c r="DA144" s="2"/>
      <c r="DB144" s="2"/>
      <c r="DC144" s="2"/>
      <c r="DD144" s="2"/>
      <c r="DE144" s="2"/>
      <c r="DF144" s="2"/>
      <c r="DG144" s="2"/>
      <c r="DH144" s="2"/>
      <c r="DI144" s="2"/>
      <c r="DJ144" s="2"/>
      <c r="DK144" s="2"/>
      <c r="DL144" s="2"/>
      <c r="DM144" s="2"/>
      <c r="DN144" s="2"/>
      <c r="DO144" s="2"/>
      <c r="DP144" s="2"/>
      <c r="DQ144" s="2"/>
      <c r="DR144" s="2"/>
      <c r="DS144" s="1"/>
      <c r="DT144" s="1"/>
      <c r="DU144" s="1"/>
      <c r="DV144" s="1"/>
      <c r="DW144" s="1"/>
      <c r="DX144" s="1"/>
      <c r="DY144" s="1"/>
      <c r="DZ144" s="1"/>
      <c r="EA144" s="1"/>
      <c r="EB144" s="1"/>
      <c r="EC144" s="2"/>
      <c r="ED144" s="2"/>
    </row>
    <row r="145" spans="1:134" x14ac:dyDescent="0.25">
      <c r="A145" s="1" t="s">
        <v>501</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v>60</v>
      </c>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2"/>
      <c r="BW145" s="2"/>
      <c r="BX145" s="1"/>
      <c r="BY145" s="1"/>
      <c r="BZ145" s="1"/>
      <c r="CA145" s="1"/>
      <c r="CB145" s="1"/>
      <c r="CC145" s="1"/>
      <c r="CD145" s="1"/>
      <c r="CE145" s="1"/>
      <c r="CF145" s="1"/>
      <c r="CG145" s="1"/>
      <c r="CH145" s="1"/>
      <c r="CI145" s="1"/>
      <c r="CJ145" s="1"/>
      <c r="CK145" s="1"/>
      <c r="CL145" s="1"/>
      <c r="CM145" s="1"/>
      <c r="CN145" s="1"/>
      <c r="CO145" s="1"/>
      <c r="CP145" s="1"/>
      <c r="CQ145" s="1"/>
      <c r="CR145" s="1"/>
      <c r="CS145" s="1"/>
      <c r="CT145" s="1">
        <v>60</v>
      </c>
      <c r="CU145" s="1"/>
      <c r="CV145" s="1"/>
      <c r="CW145" s="1"/>
      <c r="CX145" s="2"/>
      <c r="CY145" s="2"/>
      <c r="CZ145" s="2"/>
      <c r="DA145" s="2"/>
      <c r="DB145" s="2"/>
      <c r="DC145" s="2"/>
      <c r="DD145" s="2"/>
      <c r="DE145" s="2"/>
      <c r="DF145" s="2"/>
      <c r="DG145" s="2"/>
      <c r="DH145" s="2"/>
      <c r="DI145" s="2"/>
      <c r="DJ145" s="2"/>
      <c r="DK145" s="2"/>
      <c r="DL145" s="2"/>
      <c r="DM145" s="2"/>
      <c r="DN145" s="2"/>
      <c r="DO145" s="2"/>
      <c r="DP145" s="2"/>
      <c r="DQ145" s="2"/>
      <c r="DR145" s="2"/>
      <c r="DS145" s="1"/>
      <c r="DT145" s="1"/>
      <c r="DU145" s="1"/>
      <c r="DV145" s="1"/>
      <c r="DW145" s="1"/>
      <c r="DX145" s="1"/>
      <c r="DY145" s="1"/>
      <c r="DZ145" s="1"/>
      <c r="EA145" s="1"/>
      <c r="EB145" s="1"/>
      <c r="EC145" s="2"/>
      <c r="ED145" s="2"/>
    </row>
    <row r="146" spans="1:134" x14ac:dyDescent="0.25">
      <c r="A146" s="1" t="s">
        <v>148</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v>90</v>
      </c>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v>180</v>
      </c>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row>
    <row r="147" spans="1:134" x14ac:dyDescent="0.25">
      <c r="A147" s="1" t="s">
        <v>726</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v>120</v>
      </c>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row>
    <row r="148" spans="1:134" x14ac:dyDescent="0.25">
      <c r="A148" s="1" t="s">
        <v>700</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v>120</v>
      </c>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row>
    <row r="149" spans="1:134" x14ac:dyDescent="0.25">
      <c r="A149" s="1" t="s">
        <v>704</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v>15</v>
      </c>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v>120</v>
      </c>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row>
    <row r="150" spans="1:134"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v>30</v>
      </c>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v>30</v>
      </c>
      <c r="CA150" s="2"/>
      <c r="CB150" s="2"/>
      <c r="CC150" s="2"/>
      <c r="CD150" s="2"/>
      <c r="CE150" s="2"/>
      <c r="CF150" s="2"/>
      <c r="CG150" s="2"/>
      <c r="CH150" s="2"/>
      <c r="CI150" s="2"/>
      <c r="CJ150" s="2"/>
      <c r="CK150" s="2"/>
      <c r="CL150" s="2"/>
      <c r="CM150" s="2"/>
      <c r="CN150" s="2"/>
      <c r="CO150" s="2"/>
      <c r="CP150" s="2"/>
      <c r="CQ150" s="2"/>
      <c r="CR150" s="2">
        <v>15</v>
      </c>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row>
    <row r="151" spans="1:134" x14ac:dyDescent="0.25">
      <c r="A151" s="1" t="s">
        <v>772</v>
      </c>
      <c r="B151" s="1" t="s">
        <v>53</v>
      </c>
      <c r="C151" s="2" t="s">
        <v>747</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v>30</v>
      </c>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v>30</v>
      </c>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v>6</v>
      </c>
      <c r="DL151" s="2"/>
      <c r="DM151" s="2"/>
      <c r="DN151" s="2"/>
      <c r="DO151" s="2"/>
      <c r="DP151" s="2"/>
      <c r="DQ151" s="2"/>
      <c r="DR151" s="2"/>
      <c r="DS151" s="2"/>
      <c r="DT151" s="2"/>
      <c r="DU151" s="2"/>
      <c r="DV151" s="2"/>
      <c r="DW151" s="2"/>
      <c r="DX151" s="2"/>
      <c r="DY151" s="2"/>
      <c r="DZ151" s="2"/>
      <c r="EA151" s="2"/>
      <c r="EB151" s="2"/>
      <c r="EC151" s="2"/>
      <c r="ED151" s="2"/>
    </row>
    <row r="152" spans="1:134" x14ac:dyDescent="0.25">
      <c r="A152" s="1" t="s">
        <v>776</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v>60</v>
      </c>
      <c r="BD152" s="2"/>
      <c r="BE152" s="2"/>
      <c r="BF152" s="2"/>
      <c r="BG152" s="2"/>
      <c r="BH152" s="2"/>
      <c r="BI152" s="2"/>
      <c r="BJ152" s="2"/>
      <c r="BK152" s="2"/>
      <c r="BL152" s="2"/>
      <c r="BM152" s="2"/>
      <c r="BN152" s="2"/>
      <c r="BO152" s="2"/>
      <c r="BP152" s="2"/>
      <c r="BQ152" s="2"/>
      <c r="BR152" s="2"/>
      <c r="BS152" s="2"/>
      <c r="BT152" s="2">
        <v>30</v>
      </c>
      <c r="BU152" s="2"/>
      <c r="BV152" s="2"/>
      <c r="BW152" s="2"/>
      <c r="BX152" s="2"/>
      <c r="BY152" s="2">
        <v>30</v>
      </c>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row>
    <row r="153" spans="1:134" x14ac:dyDescent="0.25">
      <c r="A153" s="1" t="s">
        <v>781</v>
      </c>
      <c r="B153" s="1" t="s">
        <v>53</v>
      </c>
      <c r="C153" s="2" t="s">
        <v>747</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v>30</v>
      </c>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v>30</v>
      </c>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v>12</v>
      </c>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row>
    <row r="154" spans="1:134" x14ac:dyDescent="0.25">
      <c r="A154" s="1"/>
      <c r="B154" s="1"/>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row>
    <row r="155" spans="1:134" x14ac:dyDescent="0.25">
      <c r="A155" s="1"/>
      <c r="B155" s="1"/>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row>
    <row r="156" spans="1:134" x14ac:dyDescent="0.25">
      <c r="A156" s="1"/>
      <c r="B156" s="1"/>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row>
    <row r="157" spans="1:134" x14ac:dyDescent="0.25">
      <c r="A157" s="1"/>
      <c r="B157" s="1"/>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row>
    <row r="158" spans="1:134" x14ac:dyDescent="0.25">
      <c r="A158" s="1"/>
      <c r="B158" s="1"/>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row>
    <row r="159" spans="1:134" x14ac:dyDescent="0.25">
      <c r="A159" s="1"/>
      <c r="B159" s="1"/>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row>
    <row r="160" spans="1:134" x14ac:dyDescent="0.25">
      <c r="A160" s="1"/>
      <c r="B160" s="1"/>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row>
    <row r="161" spans="1:134" x14ac:dyDescent="0.25">
      <c r="A161" s="1"/>
      <c r="B161" s="1"/>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row>
    <row r="162" spans="1:134" x14ac:dyDescent="0.25">
      <c r="A162" s="1"/>
      <c r="B162" s="1"/>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row>
    <row r="163" spans="1:134" x14ac:dyDescent="0.25">
      <c r="A163" s="1"/>
      <c r="B163" s="1"/>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row>
    <row r="164" spans="1:134" x14ac:dyDescent="0.25">
      <c r="A164" s="1"/>
      <c r="B164" s="1"/>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row>
    <row r="165" spans="1:134" x14ac:dyDescent="0.25">
      <c r="A165" s="1"/>
      <c r="B165" s="1"/>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row>
    <row r="166" spans="1:134"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row>
    <row r="167" spans="1:134"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row>
    <row r="168" spans="1:134"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row>
    <row r="169" spans="1:134"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row>
    <row r="170" spans="1:134"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row>
    <row r="171" spans="1:134"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row>
    <row r="172" spans="1:134"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row>
    <row r="173" spans="1:134"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row>
    <row r="174" spans="1:134"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row>
    <row r="175" spans="1:134"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row>
    <row r="176" spans="1:134"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row>
    <row r="177" spans="1:134"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row>
    <row r="178" spans="1:134"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row>
    <row r="179" spans="1:134"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row>
    <row r="180" spans="1:134"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row>
    <row r="181" spans="1:134"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row>
    <row r="182" spans="1:134"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row>
    <row r="183" spans="1:134"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row>
    <row r="184" spans="1:134"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row>
    <row r="185" spans="1:134"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row>
    <row r="186" spans="1:134"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row>
    <row r="187" spans="1:134"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row>
    <row r="188" spans="1:134"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row>
    <row r="189" spans="1:134"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row>
    <row r="190" spans="1:134"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row>
    <row r="191" spans="1:134"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row>
    <row r="192" spans="1:134"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row>
    <row r="193" spans="1:134"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row>
    <row r="194" spans="1:134"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row>
    <row r="195" spans="1:134"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row>
    <row r="196" spans="1:134"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row>
    <row r="197" spans="1:134"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row>
    <row r="198" spans="1:134"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row>
    <row r="199" spans="1:134"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row>
    <row r="200" spans="1:134"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row>
    <row r="201" spans="1:134"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row>
    <row r="202" spans="1:134"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row>
    <row r="203" spans="1:134"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row>
    <row r="204" spans="1:134"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row>
    <row r="205" spans="1:134"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row>
    <row r="206" spans="1:134"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row>
    <row r="207" spans="1:134"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row>
    <row r="208" spans="1:134"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row>
    <row r="209" spans="1:134"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row>
    <row r="210" spans="1:134"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row>
    <row r="211" spans="1:134"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row>
    <row r="212" spans="1:134"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row>
    <row r="213" spans="1:134"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row>
    <row r="214" spans="1:134"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row>
    <row r="215" spans="1:134"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row>
    <row r="216" spans="1:134"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row>
    <row r="217" spans="1:134"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row>
    <row r="218" spans="1:134"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row>
    <row r="219" spans="1:134"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row>
    <row r="220" spans="1:134"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row>
    <row r="221" spans="1:134"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row>
    <row r="222" spans="1:134"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row>
    <row r="223" spans="1:134"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row>
    <row r="224" spans="1:134"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row>
    <row r="225" spans="1:134"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row>
    <row r="226" spans="1:134"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row>
    <row r="227" spans="1:134"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row>
    <row r="228" spans="1:134"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row>
    <row r="229" spans="1:134"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row>
    <row r="230" spans="1:134"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row>
    <row r="231" spans="1:134"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row>
    <row r="232" spans="1:134"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row>
    <row r="233" spans="1:134"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row>
    <row r="234" spans="1:134"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row>
    <row r="235" spans="1:134"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row>
    <row r="236" spans="1:134"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row>
    <row r="237" spans="1:134"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row>
    <row r="238" spans="1:134"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row>
    <row r="239" spans="1:134"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row>
    <row r="240" spans="1:134"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row>
    <row r="241" spans="1:134"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row>
    <row r="242" spans="1:134"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row>
    <row r="243" spans="1:134"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row>
    <row r="244" spans="1:134"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row>
    <row r="245" spans="1:134"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row>
    <row r="246" spans="1:134"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row>
    <row r="247" spans="1:134"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row>
    <row r="248" spans="1:134"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row>
    <row r="249" spans="1:134"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row>
    <row r="250" spans="1:134"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row>
  </sheetData>
  <autoFilter ref="A1:ED152" xr:uid="{C7FAA63B-DEDB-48F1-9CCA-3BF0BF1CD86F}">
    <sortState xmlns:xlrd2="http://schemas.microsoft.com/office/spreadsheetml/2017/richdata2" ref="A2:ED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45" workbookViewId="0">
      <pane xSplit="1" topLeftCell="B1" activePane="topRight" state="frozen"/>
      <selection pane="topRight" activeCell="A153" sqref="A153:XFD153"/>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78</v>
      </c>
      <c r="B1" s="8" t="s">
        <v>149</v>
      </c>
      <c r="C1" s="8" t="s">
        <v>150</v>
      </c>
      <c r="D1" s="8" t="s">
        <v>257</v>
      </c>
      <c r="E1" s="8" t="s">
        <v>135</v>
      </c>
      <c r="F1" s="8" t="s">
        <v>534</v>
      </c>
      <c r="G1" s="8" t="s">
        <v>729</v>
      </c>
      <c r="H1" s="8" t="s">
        <v>147</v>
      </c>
      <c r="I1" s="8" t="s">
        <v>581</v>
      </c>
      <c r="J1" s="8" t="s">
        <v>243</v>
      </c>
      <c r="K1" s="8" t="s">
        <v>139</v>
      </c>
      <c r="L1" s="8" t="s">
        <v>140</v>
      </c>
      <c r="M1" s="8" t="s">
        <v>289</v>
      </c>
      <c r="N1" s="7" t="s">
        <v>592</v>
      </c>
      <c r="O1" s="8" t="s">
        <v>138</v>
      </c>
      <c r="P1" s="8" t="s">
        <v>291</v>
      </c>
      <c r="Q1" s="8" t="s">
        <v>136</v>
      </c>
      <c r="R1" s="7" t="s">
        <v>141</v>
      </c>
      <c r="S1" s="7" t="s">
        <v>142</v>
      </c>
      <c r="T1" s="7" t="s">
        <v>143</v>
      </c>
      <c r="U1" s="7" t="s">
        <v>349</v>
      </c>
      <c r="V1" s="7" t="s">
        <v>144</v>
      </c>
      <c r="W1" s="7" t="s">
        <v>145</v>
      </c>
      <c r="X1" s="7" t="s">
        <v>224</v>
      </c>
      <c r="Y1" s="7" t="s">
        <v>137</v>
      </c>
      <c r="Z1" s="7" t="s">
        <v>541</v>
      </c>
      <c r="AA1" s="7" t="s">
        <v>205</v>
      </c>
      <c r="AB1" s="7" t="s">
        <v>256</v>
      </c>
      <c r="AC1" s="7" t="s">
        <v>292</v>
      </c>
      <c r="AD1" s="7" t="s">
        <v>350</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
      </c>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
      </c>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
      </c>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
      </c>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
      </c>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
      </c>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
      </c>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
      </c>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J250"/>
  <sheetViews>
    <sheetView tabSelected="1" zoomScale="80" zoomScaleNormal="80" workbookViewId="0">
      <pane xSplit="1" topLeftCell="C1" activePane="topRight" state="frozen"/>
      <selection pane="topRight" activeCell="E3" sqref="E3"/>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s>
  <sheetData>
    <row r="1" spans="1:10" s="9" customFormat="1" x14ac:dyDescent="0.25">
      <c r="A1" s="7" t="s">
        <v>78</v>
      </c>
      <c r="B1" s="7" t="s">
        <v>635</v>
      </c>
      <c r="C1" s="7" t="s">
        <v>324</v>
      </c>
      <c r="D1" s="7" t="s">
        <v>161</v>
      </c>
      <c r="E1" s="7" t="s">
        <v>320</v>
      </c>
      <c r="F1" s="7" t="s">
        <v>321</v>
      </c>
      <c r="G1" s="7" t="s">
        <v>322</v>
      </c>
      <c r="H1" s="7" t="s">
        <v>323</v>
      </c>
      <c r="I1" s="7" t="s">
        <v>784</v>
      </c>
      <c r="J1" s="7" t="s">
        <v>785</v>
      </c>
    </row>
    <row r="2" spans="1:10" ht="270" x14ac:dyDescent="0.25">
      <c r="A2" s="1" t="str">
        <f>IF(receta!A2="","",receta!A2)</f>
        <v>Agua de Valencia</v>
      </c>
      <c r="B2" s="1"/>
      <c r="C2" s="4" t="s">
        <v>368</v>
      </c>
      <c r="D2" s="4" t="s">
        <v>315</v>
      </c>
      <c r="E2" s="1" t="s">
        <v>298</v>
      </c>
      <c r="F2" s="1" t="s">
        <v>297</v>
      </c>
      <c r="G2" s="1"/>
      <c r="H2" s="1"/>
      <c r="I2" s="1"/>
      <c r="J2" s="1"/>
    </row>
    <row r="3" spans="1:10" ht="409.5" x14ac:dyDescent="0.25">
      <c r="A3" s="1" t="str">
        <f>IF(receta!A3="","",receta!A3)</f>
        <v>Alejandra</v>
      </c>
      <c r="B3" s="4" t="s">
        <v>679</v>
      </c>
      <c r="C3" s="4" t="s">
        <v>373</v>
      </c>
      <c r="D3" s="4" t="s">
        <v>241</v>
      </c>
      <c r="E3" s="1"/>
      <c r="F3" s="1"/>
      <c r="G3" s="1"/>
      <c r="H3" s="1"/>
      <c r="I3" s="1"/>
      <c r="J3" s="1"/>
    </row>
    <row r="4" spans="1:10" ht="180" x14ac:dyDescent="0.25">
      <c r="A4" s="1" t="str">
        <f>IF(receta!A4="","",receta!A4)</f>
        <v>Alevosía</v>
      </c>
      <c r="B4" s="1"/>
      <c r="C4" s="1" t="s">
        <v>378</v>
      </c>
      <c r="D4" s="4" t="s">
        <v>443</v>
      </c>
      <c r="E4" s="1" t="s">
        <v>244</v>
      </c>
      <c r="F4" s="5" t="s">
        <v>245</v>
      </c>
      <c r="G4" s="1"/>
      <c r="H4" s="5"/>
      <c r="I4" s="1"/>
      <c r="J4" s="5"/>
    </row>
    <row r="5" spans="1:10" ht="409.5" x14ac:dyDescent="0.25">
      <c r="A5" s="1" t="str">
        <f>IF(receta!A5="","",receta!A5)</f>
        <v>Alexander</v>
      </c>
      <c r="B5" s="4" t="s">
        <v>680</v>
      </c>
      <c r="C5" s="4" t="s">
        <v>456</v>
      </c>
      <c r="D5" s="4" t="s">
        <v>562</v>
      </c>
      <c r="E5" s="4" t="s">
        <v>372</v>
      </c>
      <c r="F5" s="5" t="s">
        <v>371</v>
      </c>
      <c r="G5" s="1"/>
      <c r="H5" s="1"/>
      <c r="I5" s="4"/>
      <c r="J5" s="5"/>
    </row>
    <row r="6" spans="1:10" ht="270" x14ac:dyDescent="0.25">
      <c r="A6" s="1" t="str">
        <f>IF(receta!A6="","",receta!A6)</f>
        <v>Amaretto Sour</v>
      </c>
      <c r="B6" s="4" t="s">
        <v>741</v>
      </c>
      <c r="C6" s="4" t="s">
        <v>359</v>
      </c>
      <c r="D6" s="1"/>
      <c r="E6" s="1" t="s">
        <v>446</v>
      </c>
      <c r="F6" s="1" t="s">
        <v>445</v>
      </c>
      <c r="G6" s="1"/>
      <c r="H6" s="1"/>
      <c r="I6" s="1"/>
      <c r="J6" s="1"/>
    </row>
    <row r="7" spans="1:10" ht="270" x14ac:dyDescent="0.25">
      <c r="A7" s="1" t="str">
        <f>IF(receta!A7="","",receta!A7)</f>
        <v>Amaretto Spritz</v>
      </c>
      <c r="B7" s="1"/>
      <c r="C7" s="4" t="s">
        <v>359</v>
      </c>
      <c r="D7" s="1"/>
      <c r="E7" s="1" t="s">
        <v>448</v>
      </c>
      <c r="F7" s="1" t="s">
        <v>447</v>
      </c>
      <c r="G7" s="1"/>
      <c r="H7" s="1"/>
      <c r="I7" s="1"/>
      <c r="J7" s="1"/>
    </row>
    <row r="8" spans="1:10" ht="210" x14ac:dyDescent="0.25">
      <c r="A8" s="1" t="str">
        <f>IF(receta!A8="","",receta!A8)</f>
        <v>Americano</v>
      </c>
      <c r="B8" s="1"/>
      <c r="C8" s="4" t="s">
        <v>374</v>
      </c>
      <c r="D8" s="1"/>
      <c r="E8" s="1" t="s">
        <v>176</v>
      </c>
      <c r="F8" s="1" t="s">
        <v>177</v>
      </c>
      <c r="G8" s="1"/>
      <c r="H8" s="1"/>
      <c r="I8" s="1"/>
      <c r="J8" s="1"/>
    </row>
    <row r="9" spans="1:10" ht="105" x14ac:dyDescent="0.25">
      <c r="A9" s="1" t="str">
        <f>IF(receta!A9="","",receta!A9)</f>
        <v>Amiga Mía</v>
      </c>
      <c r="B9" s="1"/>
      <c r="C9" s="1" t="s">
        <v>378</v>
      </c>
      <c r="D9" s="4" t="s">
        <v>432</v>
      </c>
      <c r="E9" s="1" t="s">
        <v>194</v>
      </c>
      <c r="F9" s="5" t="s">
        <v>195</v>
      </c>
      <c r="G9" s="1"/>
      <c r="H9" s="5"/>
      <c r="I9" s="1"/>
      <c r="J9" s="5"/>
    </row>
    <row r="10" spans="1:10" ht="210" x14ac:dyDescent="0.25">
      <c r="A10" s="1" t="str">
        <f>IF(receta!A10="","",receta!A10)</f>
        <v>Andes Refresh</v>
      </c>
      <c r="B10" s="4" t="s">
        <v>637</v>
      </c>
      <c r="C10" s="4" t="s">
        <v>636</v>
      </c>
      <c r="D10" s="1"/>
      <c r="E10" s="11"/>
      <c r="F10" s="1"/>
      <c r="G10" s="11"/>
      <c r="H10" s="1"/>
      <c r="I10" s="11"/>
      <c r="J10" s="1"/>
    </row>
    <row r="11" spans="1:10" ht="390" x14ac:dyDescent="0.25">
      <c r="A11" s="1" t="str">
        <f>IF(receta!A11="","",receta!A11)</f>
        <v>Aperol Spritz</v>
      </c>
      <c r="B11" s="1"/>
      <c r="C11" s="4" t="s">
        <v>612</v>
      </c>
      <c r="D11" s="4" t="s">
        <v>611</v>
      </c>
      <c r="E11" s="1"/>
      <c r="F11" s="1"/>
      <c r="G11" s="1"/>
      <c r="H11" s="1"/>
      <c r="I11" s="1"/>
      <c r="J11" s="1"/>
    </row>
    <row r="12" spans="1:10" ht="409.5" x14ac:dyDescent="0.25">
      <c r="A12" s="1" t="str">
        <f>IF(receta!A12="","",receta!A12)</f>
        <v>Arándano Sour</v>
      </c>
      <c r="B12" s="4" t="s">
        <v>684</v>
      </c>
      <c r="C12" s="4" t="s">
        <v>638</v>
      </c>
      <c r="D12" s="4" t="s">
        <v>564</v>
      </c>
      <c r="E12" s="1"/>
      <c r="F12" s="1"/>
      <c r="G12" s="1"/>
      <c r="H12" s="1"/>
      <c r="I12" s="1"/>
      <c r="J12" s="1"/>
    </row>
    <row r="13" spans="1:10" ht="75" x14ac:dyDescent="0.25">
      <c r="A13" s="1" t="str">
        <f>IF(receta!A13="","",receta!A13)</f>
        <v>Bellini</v>
      </c>
      <c r="B13" s="1"/>
      <c r="C13" s="4" t="s">
        <v>457</v>
      </c>
      <c r="D13" s="4" t="s">
        <v>428</v>
      </c>
      <c r="E13" s="1"/>
      <c r="F13" s="1"/>
      <c r="G13" s="1"/>
      <c r="H13" s="1"/>
      <c r="I13" s="1"/>
      <c r="J13" s="1"/>
    </row>
    <row r="14" spans="1:10" ht="409.5" x14ac:dyDescent="0.25">
      <c r="A14" s="1" t="str">
        <f>IF(receta!A14="","",receta!A14)</f>
        <v>Bello Barrio</v>
      </c>
      <c r="B14" s="1"/>
      <c r="C14" s="1" t="s">
        <v>378</v>
      </c>
      <c r="D14" s="4" t="s">
        <v>404</v>
      </c>
      <c r="E14" s="1"/>
      <c r="F14" s="1"/>
      <c r="G14" s="1" t="s">
        <v>333</v>
      </c>
      <c r="H14" s="1" t="s">
        <v>260</v>
      </c>
      <c r="I14" s="1"/>
      <c r="J14" s="1"/>
    </row>
    <row r="15" spans="1:10" ht="409.5" x14ac:dyDescent="0.25">
      <c r="A15" s="1" t="str">
        <f>IF(receta!A15="","",receta!A15)</f>
        <v>Bitter Batido</v>
      </c>
      <c r="B15" s="1"/>
      <c r="C15" s="4" t="s">
        <v>553</v>
      </c>
      <c r="D15" s="4" t="s">
        <v>385</v>
      </c>
      <c r="E15" s="1"/>
      <c r="F15" s="1"/>
      <c r="G15" s="1"/>
      <c r="H15" s="1"/>
      <c r="I15" s="1"/>
      <c r="J15" s="1"/>
    </row>
    <row r="16" spans="1:10" x14ac:dyDescent="0.25">
      <c r="A16" s="1" t="str">
        <f>IF(receta!A16="","",receta!A16)</f>
        <v>Blanco de Verano</v>
      </c>
      <c r="B16" s="13"/>
      <c r="C16" s="1"/>
      <c r="D16" s="1"/>
      <c r="E16" s="1"/>
      <c r="F16" s="1"/>
      <c r="G16" s="1"/>
      <c r="H16" s="1"/>
      <c r="I16" s="1"/>
      <c r="J16" s="1"/>
    </row>
    <row r="17" spans="1:10" ht="390" x14ac:dyDescent="0.25">
      <c r="A17" s="1" t="str">
        <f>IF(receta!A17="","",receta!A17)</f>
        <v>Bloody Mary</v>
      </c>
      <c r="B17" s="1"/>
      <c r="C17" s="4" t="s">
        <v>458</v>
      </c>
      <c r="D17" s="4" t="s">
        <v>163</v>
      </c>
      <c r="E17" s="4" t="s">
        <v>460</v>
      </c>
      <c r="F17" s="10" t="s">
        <v>459</v>
      </c>
      <c r="G17" s="4" t="s">
        <v>334</v>
      </c>
      <c r="H17" s="10" t="s">
        <v>261</v>
      </c>
      <c r="I17" s="4"/>
      <c r="J17" s="10"/>
    </row>
    <row r="18" spans="1:10" x14ac:dyDescent="0.25">
      <c r="A18" s="1" t="str">
        <f>IF(receta!A18="","",receta!A18)</f>
        <v>Bloody Mary (Sin Alcohol)</v>
      </c>
      <c r="B18" s="1"/>
      <c r="C18" s="4" t="s">
        <v>326</v>
      </c>
      <c r="D18" s="4"/>
      <c r="E18" s="1" t="s">
        <v>336</v>
      </c>
      <c r="F18" s="5" t="s">
        <v>335</v>
      </c>
      <c r="G18" s="4"/>
      <c r="H18" s="10"/>
      <c r="I18" s="1"/>
      <c r="J18" s="5"/>
    </row>
    <row r="19" spans="1:10" ht="180" x14ac:dyDescent="0.25">
      <c r="A19" s="1" t="str">
        <f>IF(receta!A19="","",receta!A19)</f>
        <v>Blue Hawaii</v>
      </c>
      <c r="B19" s="1"/>
      <c r="C19" s="4" t="s">
        <v>453</v>
      </c>
      <c r="D19" s="4"/>
      <c r="E19" s="1" t="s">
        <v>451</v>
      </c>
      <c r="F19" s="1" t="s">
        <v>450</v>
      </c>
      <c r="G19" s="1"/>
      <c r="H19" s="1"/>
      <c r="I19" s="1"/>
      <c r="J19" s="1"/>
    </row>
    <row r="20" spans="1:10" ht="120" x14ac:dyDescent="0.25">
      <c r="A20" s="1" t="str">
        <f>IF(receta!A20="","",receta!A20)</f>
        <v>Blue Hawaiian</v>
      </c>
      <c r="B20" s="1"/>
      <c r="C20" s="4" t="s">
        <v>452</v>
      </c>
      <c r="D20" s="4"/>
      <c r="E20" s="1" t="s">
        <v>338</v>
      </c>
      <c r="F20" s="1" t="s">
        <v>337</v>
      </c>
      <c r="G20" s="1"/>
      <c r="H20" s="1"/>
      <c r="I20" s="1"/>
      <c r="J20" s="1"/>
    </row>
    <row r="21" spans="1:10" ht="409.5" x14ac:dyDescent="0.25">
      <c r="A21" s="1" t="str">
        <f>IF(receta!A21="","",receta!A21)</f>
        <v>Borgoña</v>
      </c>
      <c r="B21" s="4" t="s">
        <v>755</v>
      </c>
      <c r="C21" s="4" t="s">
        <v>711</v>
      </c>
      <c r="D21" s="4" t="s">
        <v>442</v>
      </c>
      <c r="E21" s="1" t="s">
        <v>435</v>
      </c>
      <c r="F21" s="1" t="s">
        <v>434</v>
      </c>
      <c r="G21" s="1" t="s">
        <v>462</v>
      </c>
      <c r="H21" s="1" t="s">
        <v>461</v>
      </c>
      <c r="I21" s="1"/>
      <c r="J21" s="1"/>
    </row>
    <row r="22" spans="1:10" ht="375" x14ac:dyDescent="0.25">
      <c r="A22" s="1" t="str">
        <f>IF(receta!A22="","",receta!A22)</f>
        <v>Caipiriña</v>
      </c>
      <c r="B22" s="4" t="s">
        <v>639</v>
      </c>
      <c r="C22" s="4" t="s">
        <v>751</v>
      </c>
      <c r="D22" s="1"/>
      <c r="E22" s="1" t="s">
        <v>582</v>
      </c>
      <c r="F22" s="5" t="s">
        <v>583</v>
      </c>
      <c r="G22" s="1"/>
      <c r="H22" s="1"/>
      <c r="I22" s="1"/>
      <c r="J22" s="5"/>
    </row>
    <row r="23" spans="1:10" ht="90" x14ac:dyDescent="0.25">
      <c r="A23" s="1" t="str">
        <f>IF(receta!A23="","",receta!A23)</f>
        <v>Campari &amp; Vermouth Tonic</v>
      </c>
      <c r="B23" s="3"/>
      <c r="C23" s="3"/>
      <c r="D23" s="4" t="s">
        <v>429</v>
      </c>
      <c r="E23" s="1"/>
      <c r="F23" s="1"/>
      <c r="G23" s="1"/>
      <c r="H23" s="1"/>
      <c r="I23" s="1"/>
      <c r="J23" s="1"/>
    </row>
    <row r="24" spans="1:10" ht="345" x14ac:dyDescent="0.25">
      <c r="A24" s="1" t="str">
        <f>IF(receta!A24="","",receta!A24)</f>
        <v>Carajillo</v>
      </c>
      <c r="B24" s="1"/>
      <c r="C24" s="4" t="s">
        <v>554</v>
      </c>
      <c r="D24" s="1"/>
      <c r="E24" s="1" t="s">
        <v>180</v>
      </c>
      <c r="F24" s="5" t="s">
        <v>181</v>
      </c>
      <c r="G24" s="1"/>
      <c r="H24" s="1"/>
      <c r="I24" s="1"/>
      <c r="J24" s="5"/>
    </row>
    <row r="25" spans="1:10" ht="360" x14ac:dyDescent="0.25">
      <c r="A25" s="1" t="str">
        <f>IF(receta!A25="","",receta!A25)</f>
        <v>Chilcano</v>
      </c>
      <c r="B25" s="1"/>
      <c r="C25" s="4" t="s">
        <v>463</v>
      </c>
      <c r="D25" s="4" t="s">
        <v>465</v>
      </c>
      <c r="E25" s="1"/>
      <c r="F25" s="1"/>
      <c r="G25" s="1"/>
      <c r="H25" s="5"/>
      <c r="I25" s="1"/>
      <c r="J25" s="1"/>
    </row>
    <row r="26" spans="1:10" ht="409.5" x14ac:dyDescent="0.25">
      <c r="A26" s="1" t="str">
        <f>IF(receta!A26="","",receta!A26)</f>
        <v>Chuflay</v>
      </c>
      <c r="B26" s="1"/>
      <c r="C26" s="4" t="s">
        <v>500</v>
      </c>
      <c r="D26" s="4" t="s">
        <v>499</v>
      </c>
      <c r="E26" s="1"/>
      <c r="F26" s="1"/>
      <c r="G26" s="4" t="s">
        <v>498</v>
      </c>
      <c r="H26" s="1" t="s">
        <v>497</v>
      </c>
      <c r="I26" s="1"/>
      <c r="J26" s="1"/>
    </row>
    <row r="27" spans="1:10" ht="375" x14ac:dyDescent="0.25">
      <c r="A27" s="1" t="str">
        <f>IF(receta!A27="","",receta!A27)</f>
        <v>Chupilca</v>
      </c>
      <c r="B27" s="4" t="s">
        <v>709</v>
      </c>
      <c r="C27" s="4" t="s">
        <v>693</v>
      </c>
      <c r="D27" s="4" t="s">
        <v>691</v>
      </c>
      <c r="E27" s="1"/>
      <c r="F27" s="1"/>
      <c r="G27" s="1"/>
      <c r="H27" s="1"/>
      <c r="I27" s="1"/>
      <c r="J27" s="1"/>
    </row>
    <row r="28" spans="1:10" ht="409.5" x14ac:dyDescent="0.25">
      <c r="A28" s="1" t="str">
        <f>IF(receta!A28="","",receta!A28)</f>
        <v>Cimarrón</v>
      </c>
      <c r="B28" s="1"/>
      <c r="C28" s="4" t="s">
        <v>466</v>
      </c>
      <c r="D28" s="4"/>
      <c r="E28" s="1"/>
      <c r="F28" s="5"/>
      <c r="G28" s="1" t="s">
        <v>357</v>
      </c>
      <c r="H28" s="5" t="s">
        <v>262</v>
      </c>
      <c r="I28" s="1"/>
      <c r="J28" s="5"/>
    </row>
    <row r="29" spans="1:10" ht="360" x14ac:dyDescent="0.25">
      <c r="A29" s="1" t="str">
        <f>IF(receta!A29="","",receta!A29)</f>
        <v>Clavo Oxidado</v>
      </c>
      <c r="B29" s="1"/>
      <c r="C29" s="4" t="s">
        <v>513</v>
      </c>
      <c r="D29" s="1"/>
      <c r="E29" s="1" t="s">
        <v>505</v>
      </c>
      <c r="F29" s="1" t="s">
        <v>504</v>
      </c>
      <c r="G29" s="1"/>
      <c r="H29" s="5"/>
      <c r="I29" s="1"/>
      <c r="J29" s="1"/>
    </row>
    <row r="30" spans="1:10" ht="135" x14ac:dyDescent="0.25">
      <c r="A30" s="1" t="str">
        <f>IF(receta!A30="","",receta!A30)</f>
        <v>Cléry</v>
      </c>
      <c r="B30" s="4" t="s">
        <v>756</v>
      </c>
      <c r="C30" s="4" t="s">
        <v>683</v>
      </c>
      <c r="D30" s="1"/>
      <c r="E30" s="1"/>
      <c r="F30" s="1"/>
      <c r="G30" s="1"/>
      <c r="H30" s="1"/>
      <c r="I30" s="1"/>
      <c r="J30" s="1"/>
    </row>
    <row r="31" spans="1:10" ht="409.5" x14ac:dyDescent="0.25">
      <c r="A31" s="1" t="str">
        <f>IF(receta!A31="","",receta!A31)</f>
        <v>Cléry Chirimoya</v>
      </c>
      <c r="B31" s="4" t="s">
        <v>757</v>
      </c>
      <c r="C31" s="4" t="s">
        <v>683</v>
      </c>
      <c r="D31" s="4" t="s">
        <v>433</v>
      </c>
      <c r="E31" s="1"/>
      <c r="F31" s="1"/>
      <c r="G31" s="1"/>
      <c r="H31" s="1"/>
      <c r="I31" s="1"/>
      <c r="J31" s="1"/>
    </row>
    <row r="32" spans="1:10" ht="255" x14ac:dyDescent="0.25">
      <c r="A32" s="1" t="str">
        <f>IF(receta!A32="","",receta!A32)</f>
        <v>Cléry Durazno</v>
      </c>
      <c r="B32" s="4" t="s">
        <v>758</v>
      </c>
      <c r="C32" s="4" t="s">
        <v>683</v>
      </c>
      <c r="D32" s="1"/>
      <c r="E32" s="1" t="s">
        <v>341</v>
      </c>
      <c r="F32" s="5" t="s">
        <v>340</v>
      </c>
      <c r="G32" s="1"/>
      <c r="H32" s="1"/>
      <c r="I32" s="1"/>
      <c r="J32" s="5"/>
    </row>
    <row r="33" spans="1:10" ht="409.5" x14ac:dyDescent="0.25">
      <c r="A33" s="1" t="str">
        <f>IF(receta!A33="","",receta!A33)</f>
        <v>Clover Club</v>
      </c>
      <c r="B33" s="4" t="s">
        <v>741</v>
      </c>
      <c r="C33" s="4" t="s">
        <v>548</v>
      </c>
      <c r="D33" s="4" t="s">
        <v>559</v>
      </c>
      <c r="E33" s="4" t="s">
        <v>560</v>
      </c>
      <c r="F33" s="1" t="s">
        <v>558</v>
      </c>
      <c r="G33" s="1"/>
      <c r="H33" s="1"/>
      <c r="I33" s="4"/>
      <c r="J33" s="1"/>
    </row>
    <row r="34" spans="1:10" ht="255" x14ac:dyDescent="0.25">
      <c r="A34" s="1" t="str">
        <f>IF(receta!A34="","",receta!A34)</f>
        <v>Cordillera</v>
      </c>
      <c r="B34" s="1"/>
      <c r="C34" s="4" t="s">
        <v>678</v>
      </c>
      <c r="D34" s="4"/>
      <c r="E34" s="1" t="s">
        <v>250</v>
      </c>
      <c r="F34" s="5" t="s">
        <v>251</v>
      </c>
      <c r="G34" s="1"/>
      <c r="H34" s="1"/>
      <c r="I34" s="1"/>
      <c r="J34" s="5"/>
    </row>
    <row r="35" spans="1:10" ht="45" x14ac:dyDescent="0.25">
      <c r="A35" s="1" t="str">
        <f>IF(receta!A35="","",receta!A35)</f>
        <v>Cosmo Patagonia</v>
      </c>
      <c r="B35" s="4" t="s">
        <v>748</v>
      </c>
      <c r="C35" s="4" t="s">
        <v>640</v>
      </c>
      <c r="D35" s="4"/>
      <c r="E35" s="1"/>
      <c r="F35" s="1"/>
      <c r="G35" s="1"/>
      <c r="H35" s="5"/>
      <c r="I35" s="1"/>
      <c r="J35" s="1"/>
    </row>
    <row r="36" spans="1:10" ht="165" x14ac:dyDescent="0.25">
      <c r="A36" s="1" t="str">
        <f>IF(receta!A36="","",receta!A36)</f>
        <v>Cosmopolitan</v>
      </c>
      <c r="B36" s="1"/>
      <c r="C36" s="4" t="s">
        <v>546</v>
      </c>
      <c r="D36" s="1"/>
      <c r="E36" s="1"/>
      <c r="F36" s="1"/>
      <c r="G36" s="1"/>
      <c r="H36" s="1"/>
      <c r="I36" s="1"/>
      <c r="J36" s="1"/>
    </row>
    <row r="37" spans="1:10" ht="120" x14ac:dyDescent="0.25">
      <c r="A37" s="1" t="str">
        <f>IF(receta!A37="","",receta!A37)</f>
        <v>Crepúsculo</v>
      </c>
      <c r="B37" s="4" t="s">
        <v>642</v>
      </c>
      <c r="C37" s="4" t="s">
        <v>641</v>
      </c>
      <c r="D37" s="1"/>
      <c r="E37" s="4" t="s">
        <v>253</v>
      </c>
      <c r="F37" s="5" t="s">
        <v>252</v>
      </c>
      <c r="G37" s="1"/>
      <c r="H37" s="1"/>
      <c r="I37" s="4"/>
      <c r="J37" s="5"/>
    </row>
    <row r="38" spans="1:10" ht="255" x14ac:dyDescent="0.25">
      <c r="A38" s="1" t="str">
        <f>IF(receta!A38="","",receta!A38)</f>
        <v>Cuba Libre</v>
      </c>
      <c r="B38" s="1"/>
      <c r="C38" s="4" t="s">
        <v>544</v>
      </c>
      <c r="D38" s="1"/>
      <c r="E38" s="1" t="s">
        <v>521</v>
      </c>
      <c r="F38" s="5" t="s">
        <v>520</v>
      </c>
      <c r="G38" s="1"/>
      <c r="H38" s="1"/>
      <c r="I38" s="1"/>
      <c r="J38" s="5"/>
    </row>
    <row r="39" spans="1:10" ht="75" x14ac:dyDescent="0.25">
      <c r="A39" s="1" t="str">
        <f>IF(receta!A39="","",receta!A39)</f>
        <v>Cynar Spritz</v>
      </c>
      <c r="B39" s="1"/>
      <c r="C39" s="4" t="s">
        <v>339</v>
      </c>
      <c r="D39" s="1"/>
      <c r="E39" s="1"/>
      <c r="F39" s="1"/>
      <c r="G39" s="1"/>
      <c r="H39" s="1"/>
      <c r="I39" s="1"/>
      <c r="J39" s="1"/>
    </row>
    <row r="40" spans="1:10" ht="60" x14ac:dyDescent="0.25">
      <c r="A40" s="1" t="str">
        <f>IF(receta!A40="","",receta!A40)</f>
        <v>Daiquiri</v>
      </c>
      <c r="B40" s="1"/>
      <c r="C40" s="4" t="s">
        <v>352</v>
      </c>
      <c r="D40" s="1"/>
      <c r="E40" s="4" t="s">
        <v>414</v>
      </c>
      <c r="F40" s="5" t="s">
        <v>413</v>
      </c>
      <c r="G40" s="1"/>
      <c r="H40" s="1"/>
      <c r="I40" s="4"/>
      <c r="J40" s="5"/>
    </row>
    <row r="41" spans="1:10" ht="210" x14ac:dyDescent="0.25">
      <c r="A41" s="1" t="str">
        <f>IF(receta!A41="","",receta!A41)</f>
        <v>Dama Blanca</v>
      </c>
      <c r="B41" s="4" t="s">
        <v>741</v>
      </c>
      <c r="C41" s="4" t="s">
        <v>486</v>
      </c>
      <c r="D41" s="4"/>
      <c r="E41" s="1"/>
      <c r="F41" s="1"/>
      <c r="G41" s="1"/>
      <c r="H41" s="1"/>
      <c r="I41" s="1"/>
      <c r="J41" s="1"/>
    </row>
    <row r="42" spans="1:10" ht="60" x14ac:dyDescent="0.25">
      <c r="A42" s="1" t="str">
        <f>IF(receta!A42="","",receta!A42)</f>
        <v>Dark &amp; Stormy</v>
      </c>
      <c r="B42" s="1"/>
      <c r="C42" s="4" t="s">
        <v>467</v>
      </c>
      <c r="D42" s="1"/>
      <c r="E42" s="1" t="s">
        <v>469</v>
      </c>
      <c r="F42" s="1" t="s">
        <v>468</v>
      </c>
      <c r="G42" s="1"/>
      <c r="H42" s="1"/>
      <c r="I42" s="1"/>
      <c r="J42" s="1"/>
    </row>
    <row r="43" spans="1:10" ht="270" x14ac:dyDescent="0.25">
      <c r="A43" s="1" t="str">
        <f>IF(receta!A43="","",receta!A43)</f>
        <v>Destornillador</v>
      </c>
      <c r="B43" s="1"/>
      <c r="C43" s="4" t="s">
        <v>602</v>
      </c>
      <c r="D43" s="4" t="s">
        <v>603</v>
      </c>
      <c r="E43" s="1"/>
      <c r="F43" s="5"/>
      <c r="G43" s="1" t="s">
        <v>263</v>
      </c>
      <c r="H43" s="5" t="s">
        <v>264</v>
      </c>
      <c r="I43" s="1"/>
      <c r="J43" s="5"/>
    </row>
    <row r="44" spans="1:10" ht="135" x14ac:dyDescent="0.25">
      <c r="A44" s="1" t="str">
        <f>IF(receta!A44="","",receta!A44)</f>
        <v>Doug's Death</v>
      </c>
      <c r="B44" s="1"/>
      <c r="C44" s="4" t="s">
        <v>454</v>
      </c>
      <c r="D44" s="1"/>
      <c r="E44" s="1"/>
      <c r="F44" s="1"/>
      <c r="G44" s="1"/>
      <c r="H44" s="5"/>
      <c r="I44" s="1"/>
      <c r="J44" s="1"/>
    </row>
    <row r="45" spans="1:10" ht="409.5" x14ac:dyDescent="0.25">
      <c r="A45" s="1" t="str">
        <f>IF(receta!A45="","",receta!A45)</f>
        <v>Dry Martini</v>
      </c>
      <c r="B45" s="4" t="s">
        <v>643</v>
      </c>
      <c r="C45" s="4" t="s">
        <v>710</v>
      </c>
      <c r="D45" s="4" t="s">
        <v>400</v>
      </c>
      <c r="E45" s="1"/>
      <c r="F45" s="1"/>
      <c r="G45" s="1"/>
      <c r="H45" s="1"/>
      <c r="I45" s="1"/>
      <c r="J45" s="1"/>
    </row>
    <row r="46" spans="1:10" ht="285" x14ac:dyDescent="0.25">
      <c r="A46" s="1" t="str">
        <f>IF(receta!A46="","",receta!A46)</f>
        <v>El Amor en los Tiempos del Covid</v>
      </c>
      <c r="B46" s="4" t="s">
        <v>759</v>
      </c>
      <c r="C46" s="4"/>
      <c r="D46" s="4"/>
      <c r="E46" s="4" t="s">
        <v>191</v>
      </c>
      <c r="F46" s="5" t="s">
        <v>190</v>
      </c>
      <c r="G46" s="1"/>
      <c r="H46" s="1"/>
      <c r="I46" s="4"/>
      <c r="J46" s="5"/>
    </row>
    <row r="47" spans="1:10" ht="240" x14ac:dyDescent="0.25">
      <c r="A47" s="1" t="str">
        <f>IF(receta!A47="","",receta!A47)</f>
        <v>Enemigo Íntimo</v>
      </c>
      <c r="B47" s="1"/>
      <c r="C47" s="4" t="s">
        <v>386</v>
      </c>
      <c r="D47" s="4" t="s">
        <v>312</v>
      </c>
      <c r="E47" s="1" t="s">
        <v>308</v>
      </c>
      <c r="F47" s="5" t="s">
        <v>309</v>
      </c>
      <c r="G47" s="4"/>
      <c r="H47" s="5"/>
      <c r="I47" s="1"/>
      <c r="J47" s="5"/>
    </row>
    <row r="48" spans="1:10" ht="315" x14ac:dyDescent="0.25">
      <c r="A48" s="1" t="str">
        <f>IF(receta!A48="","",receta!A48)</f>
        <v>Escarabajo</v>
      </c>
      <c r="B48" s="1"/>
      <c r="C48" s="4" t="s">
        <v>387</v>
      </c>
      <c r="D48" s="4" t="s">
        <v>610</v>
      </c>
      <c r="E48" s="1" t="s">
        <v>608</v>
      </c>
      <c r="F48" s="5" t="s">
        <v>609</v>
      </c>
      <c r="G48" s="1"/>
      <c r="H48" s="5"/>
      <c r="I48" s="1"/>
      <c r="J48" s="5"/>
    </row>
    <row r="49" spans="1:10" ht="270" x14ac:dyDescent="0.25">
      <c r="A49" s="1" t="str">
        <f>IF(receta!A49="","",receta!A49)</f>
        <v>Española</v>
      </c>
      <c r="B49" s="1"/>
      <c r="C49" s="4" t="s">
        <v>644</v>
      </c>
      <c r="D49" s="4" t="s">
        <v>379</v>
      </c>
      <c r="E49" s="1" t="s">
        <v>789</v>
      </c>
      <c r="F49" s="5" t="s">
        <v>790</v>
      </c>
      <c r="G49" s="1"/>
      <c r="H49" s="1"/>
      <c r="I49" s="1"/>
      <c r="J49" s="1"/>
    </row>
    <row r="50" spans="1:10" ht="255" x14ac:dyDescent="0.25">
      <c r="A50" s="1" t="str">
        <f>IF(receta!A50="","",receta!A50)</f>
        <v>Espiral</v>
      </c>
      <c r="B50" s="1"/>
      <c r="C50" s="4" t="s">
        <v>692</v>
      </c>
      <c r="D50" s="4"/>
      <c r="E50" s="4" t="s">
        <v>490</v>
      </c>
      <c r="F50" s="5" t="s">
        <v>491</v>
      </c>
      <c r="G50" s="1" t="s">
        <v>332</v>
      </c>
      <c r="H50" s="5" t="s">
        <v>293</v>
      </c>
      <c r="I50" s="4"/>
      <c r="J50" s="5"/>
    </row>
    <row r="51" spans="1:10" ht="105" x14ac:dyDescent="0.25">
      <c r="A51" s="1" t="str">
        <f>IF(receta!A51="","",receta!A51)</f>
        <v>Espresso Martini</v>
      </c>
      <c r="B51" s="1"/>
      <c r="C51" s="4" t="s">
        <v>503</v>
      </c>
      <c r="D51" s="1"/>
      <c r="E51" s="1"/>
      <c r="F51" s="1"/>
      <c r="G51" s="1"/>
      <c r="H51" s="1"/>
      <c r="I51" s="1"/>
      <c r="J51" s="1"/>
    </row>
    <row r="52" spans="1:10" ht="150" x14ac:dyDescent="0.25">
      <c r="A52" s="1" t="str">
        <f>IF(receta!A52="","",receta!A52)</f>
        <v>Estoy Verde</v>
      </c>
      <c r="B52" s="1"/>
      <c r="C52" s="1" t="s">
        <v>378</v>
      </c>
      <c r="D52" s="4" t="s">
        <v>485</v>
      </c>
      <c r="E52" s="1" t="s">
        <v>199</v>
      </c>
      <c r="F52" s="1" t="s">
        <v>198</v>
      </c>
      <c r="G52" s="1" t="s">
        <v>515</v>
      </c>
      <c r="H52" s="1" t="s">
        <v>514</v>
      </c>
      <c r="I52" s="1"/>
      <c r="J52" s="1"/>
    </row>
    <row r="53" spans="1:10" ht="390" x14ac:dyDescent="0.25">
      <c r="A53" s="1" t="str">
        <f>IF(receta!A53="","",receta!A53)</f>
        <v>Fanshop</v>
      </c>
      <c r="B53" s="1"/>
      <c r="C53" s="4" t="s">
        <v>394</v>
      </c>
      <c r="D53" s="4" t="s">
        <v>410</v>
      </c>
      <c r="E53" s="1" t="s">
        <v>411</v>
      </c>
      <c r="F53" s="1" t="s">
        <v>412</v>
      </c>
      <c r="G53" s="1" t="s">
        <v>392</v>
      </c>
      <c r="H53" s="1" t="s">
        <v>391</v>
      </c>
      <c r="I53" s="1"/>
      <c r="J53" s="1"/>
    </row>
    <row r="54" spans="1:10" ht="45" x14ac:dyDescent="0.25">
      <c r="A54" s="1" t="str">
        <f>IF(receta!A54="","",receta!A54)</f>
        <v>Faro</v>
      </c>
      <c r="B54" s="1"/>
      <c r="C54" s="4" t="s">
        <v>696</v>
      </c>
      <c r="D54" s="4"/>
      <c r="E54" s="1"/>
      <c r="F54" s="5"/>
      <c r="G54" s="1" t="s">
        <v>358</v>
      </c>
      <c r="H54" s="5" t="s">
        <v>296</v>
      </c>
      <c r="I54" s="1"/>
      <c r="J54" s="5"/>
    </row>
    <row r="55" spans="1:10" x14ac:dyDescent="0.25">
      <c r="A55" s="1" t="str">
        <f>IF(receta!A55="","",receta!A55)</f>
        <v>Feria Libre</v>
      </c>
      <c r="B55" s="1"/>
      <c r="C55" s="1" t="s">
        <v>378</v>
      </c>
      <c r="D55" s="1"/>
      <c r="E55" s="1" t="s">
        <v>189</v>
      </c>
      <c r="F55" s="5" t="s">
        <v>188</v>
      </c>
      <c r="G55" s="1"/>
      <c r="H55" s="5"/>
      <c r="I55" s="1"/>
      <c r="J55" s="5"/>
    </row>
    <row r="56" spans="1:10" ht="409.5" x14ac:dyDescent="0.25">
      <c r="A56" s="1" t="str">
        <f>IF(receta!A56="","",receta!A56)</f>
        <v>Fernet con Coca</v>
      </c>
      <c r="B56" s="1"/>
      <c r="C56" s="4" t="s">
        <v>484</v>
      </c>
      <c r="D56" s="4" t="s">
        <v>403</v>
      </c>
      <c r="E56" s="1" t="s">
        <v>483</v>
      </c>
      <c r="F56" s="1" t="s">
        <v>482</v>
      </c>
      <c r="G56" s="1"/>
      <c r="H56" s="1"/>
      <c r="I56" s="1"/>
      <c r="J56" s="1"/>
    </row>
    <row r="57" spans="1:10" ht="120" x14ac:dyDescent="0.25">
      <c r="A57" s="1" t="str">
        <f>IF(receta!A57="","",receta!A57)</f>
        <v>Ferroviario</v>
      </c>
      <c r="B57" s="1"/>
      <c r="C57" s="4" t="s">
        <v>369</v>
      </c>
      <c r="D57" s="4" t="s">
        <v>430</v>
      </c>
      <c r="E57" s="11" t="s">
        <v>178</v>
      </c>
      <c r="F57" s="5" t="s">
        <v>179</v>
      </c>
      <c r="G57" s="11"/>
      <c r="H57" s="5"/>
      <c r="I57" s="11"/>
      <c r="J57" s="5"/>
    </row>
    <row r="58" spans="1:10" ht="150" x14ac:dyDescent="0.25">
      <c r="A58" s="1" t="str">
        <f>IF(receta!A58="","",receta!A58)</f>
        <v>Frangelico Sour</v>
      </c>
      <c r="B58" s="4" t="s">
        <v>741</v>
      </c>
      <c r="C58" s="4" t="s">
        <v>344</v>
      </c>
      <c r="D58" s="1"/>
      <c r="E58" s="1"/>
      <c r="F58" s="1"/>
      <c r="G58" s="1"/>
      <c r="H58" s="1"/>
      <c r="I58" s="1"/>
      <c r="J58" s="1"/>
    </row>
    <row r="59" spans="1:10" ht="409.5" x14ac:dyDescent="0.25">
      <c r="A59" s="1" t="str">
        <f>IF(receta!A59="","",receta!A59)</f>
        <v>French 75</v>
      </c>
      <c r="B59" s="4" t="s">
        <v>646</v>
      </c>
      <c r="C59" s="4" t="s">
        <v>645</v>
      </c>
      <c r="D59" s="4" t="s">
        <v>365</v>
      </c>
      <c r="E59" s="1" t="s">
        <v>420</v>
      </c>
      <c r="F59" s="5" t="s">
        <v>419</v>
      </c>
      <c r="G59" s="1"/>
      <c r="H59" s="1"/>
      <c r="I59" s="1"/>
      <c r="J59" s="5"/>
    </row>
    <row r="60" spans="1:10" ht="90" x14ac:dyDescent="0.25">
      <c r="A60" s="1" t="str">
        <f>IF(receta!A60="","",receta!A60)</f>
        <v>Garibaldi</v>
      </c>
      <c r="B60" s="1"/>
      <c r="C60" s="4" t="s">
        <v>345</v>
      </c>
      <c r="D60" s="1"/>
      <c r="E60" s="1"/>
      <c r="F60" s="1"/>
      <c r="G60" s="1"/>
      <c r="H60" s="1"/>
      <c r="I60" s="1"/>
      <c r="J60" s="1"/>
    </row>
    <row r="61" spans="1:10" ht="165" x14ac:dyDescent="0.25">
      <c r="A61" s="1" t="str">
        <f>IF(receta!A61="","",receta!A61)</f>
        <v>Gimlet</v>
      </c>
      <c r="B61" s="1"/>
      <c r="C61" s="4" t="s">
        <v>342</v>
      </c>
      <c r="D61" s="4" t="s">
        <v>396</v>
      </c>
      <c r="E61" s="1" t="s">
        <v>479</v>
      </c>
      <c r="F61" s="1" t="s">
        <v>478</v>
      </c>
      <c r="G61" s="4"/>
      <c r="H61" s="1"/>
      <c r="I61" s="1"/>
      <c r="J61" s="1"/>
    </row>
    <row r="62" spans="1:10" ht="345" x14ac:dyDescent="0.25">
      <c r="A62" s="1" t="str">
        <f>IF(receta!A62="","",receta!A62)</f>
        <v>Gin con Gin</v>
      </c>
      <c r="B62" s="1"/>
      <c r="C62" s="4" t="s">
        <v>752</v>
      </c>
      <c r="D62" s="1"/>
      <c r="E62" s="4" t="s">
        <v>415</v>
      </c>
      <c r="F62" s="5" t="s">
        <v>416</v>
      </c>
      <c r="G62" s="4"/>
      <c r="H62" s="5"/>
      <c r="I62" s="4"/>
      <c r="J62" s="5"/>
    </row>
    <row r="63" spans="1:10" ht="409.5" x14ac:dyDescent="0.25">
      <c r="A63" s="1" t="str">
        <f>IF(receta!A63="","",receta!A63)</f>
        <v>Gin Tonic</v>
      </c>
      <c r="B63" s="1"/>
      <c r="C63" s="1"/>
      <c r="D63" s="4" t="s">
        <v>375</v>
      </c>
      <c r="E63" s="1" t="s">
        <v>165</v>
      </c>
      <c r="F63" s="5" t="s">
        <v>166</v>
      </c>
      <c r="G63" s="4" t="s">
        <v>417</v>
      </c>
      <c r="H63" s="5" t="s">
        <v>343</v>
      </c>
      <c r="I63" s="1" t="s">
        <v>786</v>
      </c>
      <c r="J63" s="5" t="s">
        <v>787</v>
      </c>
    </row>
    <row r="64" spans="1:10" ht="60" x14ac:dyDescent="0.25">
      <c r="A64" s="1" t="str">
        <f>IF(receta!A64="","",receta!A64)</f>
        <v>Ginger Fire</v>
      </c>
      <c r="B64" s="1"/>
      <c r="C64" s="4" t="s">
        <v>708</v>
      </c>
      <c r="D64" s="1"/>
      <c r="E64" s="1"/>
      <c r="F64" s="1"/>
      <c r="G64" s="1"/>
      <c r="H64" s="1"/>
      <c r="I64" s="1"/>
      <c r="J64" s="1"/>
    </row>
    <row r="65" spans="1:10" ht="409.5" x14ac:dyDescent="0.25">
      <c r="A65" s="1" t="str">
        <f>IF(receta!A65="","",receta!A65)</f>
        <v>Hemingway Daiquiri</v>
      </c>
      <c r="B65" s="1"/>
      <c r="C65" s="4" t="s">
        <v>647</v>
      </c>
      <c r="D65" s="4" t="s">
        <v>175</v>
      </c>
      <c r="E65" s="1"/>
      <c r="F65" s="1"/>
      <c r="G65" s="1"/>
      <c r="H65" s="5"/>
      <c r="I65" s="1"/>
      <c r="J65" s="1"/>
    </row>
    <row r="66" spans="1:10" ht="375" x14ac:dyDescent="0.25">
      <c r="A66" s="1" t="str">
        <f>IF(receta!A66="","",receta!A66)</f>
        <v>Hugo</v>
      </c>
      <c r="B66" s="1"/>
      <c r="C66" s="4" t="s">
        <v>750</v>
      </c>
      <c r="D66" s="4" t="s">
        <v>765</v>
      </c>
      <c r="E66" s="1"/>
      <c r="F66" s="1"/>
      <c r="G66" s="1"/>
      <c r="H66" s="1"/>
      <c r="I66" s="1"/>
      <c r="J66" s="1"/>
    </row>
    <row r="67" spans="1:10" ht="409.5" x14ac:dyDescent="0.25">
      <c r="A67" s="1" t="str">
        <f>IF(receta!A67="","",receta!A67)</f>
        <v>Incendio</v>
      </c>
      <c r="B67" s="1"/>
      <c r="C67" s="4" t="s">
        <v>388</v>
      </c>
      <c r="D67" s="4"/>
      <c r="E67" s="1" t="s">
        <v>226</v>
      </c>
      <c r="F67" s="5" t="s">
        <v>227</v>
      </c>
      <c r="G67" s="1"/>
      <c r="H67" s="5"/>
      <c r="I67" s="1"/>
      <c r="J67" s="5"/>
    </row>
    <row r="68" spans="1:10" ht="330" x14ac:dyDescent="0.25">
      <c r="A68" s="1" t="str">
        <f>IF(receta!A68="","",receta!A68)</f>
        <v>Ingrata</v>
      </c>
      <c r="B68" s="1"/>
      <c r="C68" s="1" t="s">
        <v>389</v>
      </c>
      <c r="D68" s="4" t="s">
        <v>606</v>
      </c>
      <c r="E68" s="1" t="s">
        <v>171</v>
      </c>
      <c r="F68" s="5" t="s">
        <v>172</v>
      </c>
      <c r="G68" s="1"/>
      <c r="H68" s="1"/>
      <c r="I68" s="1"/>
      <c r="J68" s="5"/>
    </row>
    <row r="69" spans="1:10" ht="300" x14ac:dyDescent="0.25">
      <c r="A69" s="1" t="str">
        <f>IF(receta!A69="","",receta!A69)</f>
        <v>Isla Negra</v>
      </c>
      <c r="B69" s="1"/>
      <c r="C69" s="4" t="s">
        <v>444</v>
      </c>
      <c r="D69" s="4" t="s">
        <v>438</v>
      </c>
      <c r="E69" s="1" t="s">
        <v>440</v>
      </c>
      <c r="F69" s="1" t="s">
        <v>439</v>
      </c>
      <c r="G69" s="1"/>
      <c r="H69" s="1"/>
      <c r="I69" s="1"/>
      <c r="J69" s="1"/>
    </row>
    <row r="70" spans="1:10" ht="195" x14ac:dyDescent="0.25">
      <c r="A70" s="1" t="str">
        <f>IF(receta!A70="","",receta!A70)</f>
        <v>Jardín</v>
      </c>
      <c r="B70" s="1"/>
      <c r="C70" s="1" t="s">
        <v>378</v>
      </c>
      <c r="D70" s="4" t="s">
        <v>408</v>
      </c>
      <c r="E70" s="1" t="s">
        <v>406</v>
      </c>
      <c r="F70" s="1" t="s">
        <v>407</v>
      </c>
      <c r="G70" s="1"/>
      <c r="H70" s="1"/>
      <c r="I70" s="1"/>
      <c r="J70" s="1"/>
    </row>
    <row r="71" spans="1:10" ht="165" x14ac:dyDescent="0.25">
      <c r="A71" s="1" t="str">
        <f>IF(receta!A71="","",receta!A71)</f>
        <v>John Collins</v>
      </c>
      <c r="B71" s="1"/>
      <c r="C71" s="4" t="s">
        <v>470</v>
      </c>
      <c r="D71" s="1"/>
      <c r="E71" s="1" t="s">
        <v>477</v>
      </c>
      <c r="F71" s="5" t="s">
        <v>476</v>
      </c>
      <c r="G71" s="1"/>
      <c r="H71" s="5"/>
      <c r="I71" s="1"/>
      <c r="J71" s="5"/>
    </row>
    <row r="72" spans="1:10" ht="315" x14ac:dyDescent="0.25">
      <c r="A72" s="1" t="str">
        <f>IF(receta!A72="","",receta!A72)</f>
        <v>Jote</v>
      </c>
      <c r="B72" s="4" t="s">
        <v>649</v>
      </c>
      <c r="C72" s="4" t="s">
        <v>648</v>
      </c>
      <c r="D72" s="4" t="s">
        <v>401</v>
      </c>
      <c r="E72" s="1" t="s">
        <v>398</v>
      </c>
      <c r="F72" s="5" t="s">
        <v>397</v>
      </c>
      <c r="G72" s="1" t="s">
        <v>423</v>
      </c>
      <c r="H72" s="5" t="s">
        <v>399</v>
      </c>
      <c r="I72" s="1"/>
      <c r="J72" s="5"/>
    </row>
    <row r="73" spans="1:10" ht="225" x14ac:dyDescent="0.25">
      <c r="A73" s="1" t="str">
        <f>IF(receta!A73="","",receta!A73)</f>
        <v>Julepe de Menta</v>
      </c>
      <c r="B73" s="4" t="s">
        <v>573</v>
      </c>
      <c r="C73" s="4"/>
      <c r="D73" s="4" t="s">
        <v>574</v>
      </c>
      <c r="E73" s="1"/>
      <c r="F73" s="1"/>
      <c r="G73" s="1"/>
      <c r="H73" s="1"/>
      <c r="I73" s="1"/>
      <c r="J73" s="1"/>
    </row>
    <row r="74" spans="1:10" ht="409.5" x14ac:dyDescent="0.25">
      <c r="A74" s="1" t="str">
        <f>IF(receta!A74="","",receta!A74)</f>
        <v>Julieta Flowers</v>
      </c>
      <c r="B74" s="4" t="s">
        <v>720</v>
      </c>
      <c r="C74" s="4" t="s">
        <v>725</v>
      </c>
      <c r="D74" s="4" t="s">
        <v>723</v>
      </c>
      <c r="E74" s="1" t="s">
        <v>742</v>
      </c>
      <c r="F74" s="5" t="s">
        <v>743</v>
      </c>
      <c r="G74" s="1" t="s">
        <v>745</v>
      </c>
      <c r="H74" s="5" t="s">
        <v>744</v>
      </c>
      <c r="I74" s="1"/>
      <c r="J74" s="5"/>
    </row>
    <row r="75" spans="1:10" ht="75" x14ac:dyDescent="0.25">
      <c r="A75" s="1" t="str">
        <f>IF(receta!A75="","",receta!A75)</f>
        <v>Kir Royal</v>
      </c>
      <c r="B75" s="1"/>
      <c r="C75" s="4" t="s">
        <v>327</v>
      </c>
      <c r="D75" s="4"/>
      <c r="E75" s="1"/>
      <c r="F75" s="1"/>
      <c r="G75" s="1"/>
      <c r="H75" s="1"/>
      <c r="I75" s="1"/>
      <c r="J75" s="1"/>
    </row>
    <row r="76" spans="1:10" ht="409.5" x14ac:dyDescent="0.25">
      <c r="A76" s="1" t="str">
        <f>IF(receta!A76="","",receta!A76)</f>
        <v>Kokomo</v>
      </c>
      <c r="B76" s="1"/>
      <c r="C76" s="4" t="s">
        <v>455</v>
      </c>
      <c r="D76" s="4" t="s">
        <v>276</v>
      </c>
      <c r="E76" s="1" t="s">
        <v>278</v>
      </c>
      <c r="F76" s="5" t="s">
        <v>277</v>
      </c>
      <c r="G76" s="1"/>
      <c r="H76" s="1"/>
      <c r="I76" s="1"/>
      <c r="J76" s="5"/>
    </row>
    <row r="77" spans="1:10" ht="90" x14ac:dyDescent="0.25">
      <c r="A77" s="1" t="str">
        <f>IF(receta!A77="","",receta!A77)</f>
        <v>Laguna Azul</v>
      </c>
      <c r="B77" s="1"/>
      <c r="C77" s="4" t="s">
        <v>471</v>
      </c>
      <c r="D77" s="1"/>
      <c r="E77" s="1"/>
      <c r="F77" s="1"/>
      <c r="G77" s="1"/>
      <c r="H77" s="1"/>
      <c r="I77" s="1"/>
      <c r="J77" s="1"/>
    </row>
    <row r="78" spans="1:10" ht="30" x14ac:dyDescent="0.25">
      <c r="A78" s="1" t="str">
        <f>IF(receta!A78="","",receta!A78)</f>
        <v>London Mule</v>
      </c>
      <c r="B78" s="1"/>
      <c r="C78" s="4" t="s">
        <v>472</v>
      </c>
      <c r="D78" s="1"/>
      <c r="E78" s="1"/>
      <c r="F78" s="1"/>
      <c r="G78" s="1"/>
      <c r="H78" s="1"/>
      <c r="I78" s="1"/>
      <c r="J78" s="1"/>
    </row>
    <row r="79" spans="1:10" x14ac:dyDescent="0.25">
      <c r="A79" s="1" t="str">
        <f>IF(receta!A79="","",receta!A79)</f>
        <v>Luisito</v>
      </c>
      <c r="B79" s="1"/>
      <c r="C79" s="4"/>
      <c r="D79" s="1"/>
      <c r="E79" s="1"/>
      <c r="F79" s="1"/>
      <c r="G79" s="1"/>
      <c r="H79" s="1"/>
      <c r="I79" s="1"/>
      <c r="J79" s="1"/>
    </row>
    <row r="80" spans="1:10" x14ac:dyDescent="0.25">
      <c r="A80" s="1" t="str">
        <f>IF(receta!A80="","",receta!A80)</f>
        <v>Luisito (Sin Alcohol)</v>
      </c>
      <c r="B80" s="1"/>
      <c r="C80" s="4" t="s">
        <v>326</v>
      </c>
      <c r="D80" s="4"/>
      <c r="E80" s="1"/>
      <c r="F80" s="1"/>
      <c r="G80" s="1"/>
      <c r="H80" s="5"/>
      <c r="I80" s="1"/>
      <c r="J80" s="1"/>
    </row>
    <row r="81" spans="1:10" ht="60" x14ac:dyDescent="0.25">
      <c r="A81" s="1" t="str">
        <f>IF(receta!A81="","",receta!A81)</f>
        <v>Madras</v>
      </c>
      <c r="B81" s="1"/>
      <c r="C81" s="4" t="s">
        <v>739</v>
      </c>
      <c r="D81" s="4"/>
      <c r="E81" s="1"/>
      <c r="F81" s="1"/>
      <c r="G81" s="1"/>
      <c r="H81" s="5"/>
      <c r="I81" s="1"/>
      <c r="J81" s="1"/>
    </row>
    <row r="82" spans="1:10" ht="240" x14ac:dyDescent="0.25">
      <c r="A82" s="1" t="str">
        <f>IF(receta!A82="","",receta!A82)</f>
        <v>Mai Tai Piña</v>
      </c>
      <c r="B82" s="4" t="s">
        <v>734</v>
      </c>
      <c r="C82" s="4" t="s">
        <v>737</v>
      </c>
      <c r="D82" s="4"/>
      <c r="E82" s="1"/>
      <c r="F82" s="1"/>
      <c r="G82" s="1" t="s">
        <v>736</v>
      </c>
      <c r="H82" s="5" t="s">
        <v>738</v>
      </c>
      <c r="I82" s="1"/>
      <c r="J82" s="1"/>
    </row>
    <row r="83" spans="1:10" ht="409.5" x14ac:dyDescent="0.25">
      <c r="A83" s="1" t="str">
        <f>IF(receta!A83="","",receta!A83)</f>
        <v>Mala Reputación</v>
      </c>
      <c r="B83" s="1"/>
      <c r="C83" s="4" t="s">
        <v>378</v>
      </c>
      <c r="D83" s="4" t="s">
        <v>310</v>
      </c>
      <c r="E83" s="1" t="s">
        <v>356</v>
      </c>
      <c r="F83" s="5" t="s">
        <v>355</v>
      </c>
      <c r="G83" s="1"/>
      <c r="H83" s="5"/>
      <c r="I83" s="1"/>
      <c r="J83" s="5"/>
    </row>
    <row r="84" spans="1:10" ht="315" x14ac:dyDescent="0.25">
      <c r="A84" s="1" t="str">
        <f>IF(receta!A84="","",receta!A84)</f>
        <v>Malta con Huevo</v>
      </c>
      <c r="B84" s="4" t="s">
        <v>674</v>
      </c>
      <c r="C84" s="4" t="s">
        <v>675</v>
      </c>
      <c r="D84" s="1"/>
      <c r="E84" s="1"/>
      <c r="F84" s="1"/>
      <c r="G84" s="1" t="s">
        <v>630</v>
      </c>
      <c r="H84" s="1" t="s">
        <v>629</v>
      </c>
      <c r="I84" s="1"/>
      <c r="J84" s="1"/>
    </row>
    <row r="85" spans="1:10" ht="240" x14ac:dyDescent="0.25">
      <c r="A85" s="1" t="str">
        <f>IF(receta!A85="","",receta!A85)</f>
        <v>Malta con Leche Condensada</v>
      </c>
      <c r="B85" s="4" t="s">
        <v>677</v>
      </c>
      <c r="C85" s="4" t="s">
        <v>676</v>
      </c>
      <c r="D85" s="1"/>
      <c r="E85" s="1"/>
      <c r="F85" s="1"/>
      <c r="G85" s="1" t="s">
        <v>630</v>
      </c>
      <c r="H85" s="1" t="s">
        <v>629</v>
      </c>
      <c r="I85" s="1"/>
      <c r="J85" s="1"/>
    </row>
    <row r="86" spans="1:10" ht="30" x14ac:dyDescent="0.25">
      <c r="A86" s="1" t="str">
        <f>IF(receta!A86="","",receta!A86)</f>
        <v>Mango Sour</v>
      </c>
      <c r="B86" s="4" t="s">
        <v>686</v>
      </c>
      <c r="C86" s="4"/>
      <c r="D86" s="1"/>
      <c r="E86" s="1"/>
      <c r="F86" s="1"/>
      <c r="G86" s="1"/>
      <c r="H86" s="5"/>
      <c r="I86" s="1"/>
      <c r="J86" s="1"/>
    </row>
    <row r="87" spans="1:10" ht="165" x14ac:dyDescent="0.25">
      <c r="A87" s="1" t="str">
        <f>IF(receta!A87="","",receta!A87)</f>
        <v>Manhattan</v>
      </c>
      <c r="B87" s="1"/>
      <c r="C87" s="4" t="s">
        <v>770</v>
      </c>
      <c r="D87" s="1"/>
      <c r="E87" s="1" t="s">
        <v>769</v>
      </c>
      <c r="F87" s="5" t="s">
        <v>768</v>
      </c>
      <c r="G87" s="1" t="s">
        <v>771</v>
      </c>
      <c r="H87" s="5" t="s">
        <v>380</v>
      </c>
      <c r="I87" s="1"/>
      <c r="J87" s="5"/>
    </row>
    <row r="88" spans="1:10" ht="360" x14ac:dyDescent="0.25">
      <c r="A88" s="1" t="str">
        <f>IF(receta!A88="","",receta!A88)</f>
        <v>Maqui Sour</v>
      </c>
      <c r="B88" s="4" t="s">
        <v>760</v>
      </c>
      <c r="C88" s="4" t="s">
        <v>650</v>
      </c>
      <c r="D88" s="4" t="s">
        <v>605</v>
      </c>
      <c r="E88" s="1"/>
      <c r="F88" s="1"/>
      <c r="G88" s="1"/>
      <c r="H88" s="5"/>
      <c r="I88" s="1"/>
      <c r="J88" s="1"/>
    </row>
    <row r="89" spans="1:10" ht="90" x14ac:dyDescent="0.25">
      <c r="A89" s="1" t="str">
        <f>IF(receta!A89="","",receta!A89)</f>
        <v>Margarita</v>
      </c>
      <c r="B89" s="4" t="s">
        <v>652</v>
      </c>
      <c r="C89" s="4" t="s">
        <v>651</v>
      </c>
      <c r="D89" s="1"/>
      <c r="E89" s="1" t="s">
        <v>187</v>
      </c>
      <c r="F89" s="5" t="s">
        <v>186</v>
      </c>
      <c r="G89" s="1"/>
      <c r="H89" s="1"/>
      <c r="I89" s="1"/>
      <c r="J89" s="5"/>
    </row>
    <row r="90" spans="1:10" x14ac:dyDescent="0.25">
      <c r="A90" s="1" t="str">
        <f>IF(receta!A90="","",receta!A90)</f>
        <v>Margarita Maracuyá</v>
      </c>
      <c r="B90" s="1"/>
      <c r="C90" s="1"/>
      <c r="D90" s="1"/>
      <c r="E90" s="1" t="s">
        <v>601</v>
      </c>
      <c r="F90" s="5" t="s">
        <v>418</v>
      </c>
      <c r="G90" s="1"/>
      <c r="H90" s="1"/>
      <c r="I90" s="1"/>
      <c r="J90" s="5"/>
    </row>
    <row r="91" spans="1:10" ht="225" x14ac:dyDescent="0.25">
      <c r="A91" s="1" t="str">
        <f>IF(receta!A91="","",receta!A91)</f>
        <v>Melón con Vino</v>
      </c>
      <c r="B91" s="4" t="s">
        <v>698</v>
      </c>
      <c r="C91" s="4" t="s">
        <v>697</v>
      </c>
      <c r="D91" s="1"/>
      <c r="E91" s="1" t="s">
        <v>341</v>
      </c>
      <c r="F91" s="5" t="s">
        <v>340</v>
      </c>
      <c r="G91" s="1"/>
      <c r="H91" s="1"/>
      <c r="I91" s="1"/>
      <c r="J91" s="5"/>
    </row>
    <row r="92" spans="1:10" ht="375" x14ac:dyDescent="0.25">
      <c r="A92" s="1" t="str">
        <f>IF(receta!A92="","",receta!A92)</f>
        <v>Michelada</v>
      </c>
      <c r="B92" s="4" t="s">
        <v>761</v>
      </c>
      <c r="C92" s="4" t="s">
        <v>753</v>
      </c>
      <c r="D92" s="4" t="s">
        <v>409</v>
      </c>
      <c r="E92" s="1" t="s">
        <v>184</v>
      </c>
      <c r="F92" s="5" t="s">
        <v>185</v>
      </c>
      <c r="G92" s="1"/>
      <c r="H92" s="1"/>
      <c r="I92" s="1"/>
      <c r="J92" s="5"/>
    </row>
    <row r="93" spans="1:10" ht="150" x14ac:dyDescent="0.25">
      <c r="A93" s="1" t="str">
        <f>IF(receta!A93="","",receta!A93)</f>
        <v>Milano Torino</v>
      </c>
      <c r="B93" s="1"/>
      <c r="C93" s="4" t="s">
        <v>547</v>
      </c>
      <c r="D93" s="1"/>
      <c r="E93" s="1"/>
      <c r="F93" s="1"/>
      <c r="G93" s="1"/>
      <c r="H93" s="1"/>
      <c r="I93" s="1"/>
      <c r="J93" s="1"/>
    </row>
    <row r="94" spans="1:10" ht="180" x14ac:dyDescent="0.25">
      <c r="A94" s="1" t="str">
        <f>IF(receta!A94="","",receta!A94)</f>
        <v>Mimosa</v>
      </c>
      <c r="B94" s="1"/>
      <c r="C94" s="4" t="s">
        <v>370</v>
      </c>
      <c r="D94" s="1"/>
      <c r="E94" s="1"/>
      <c r="F94" s="1"/>
      <c r="G94" s="1"/>
      <c r="H94" s="1"/>
      <c r="I94" s="1"/>
      <c r="J94" s="1"/>
    </row>
    <row r="95" spans="1:10" ht="225" x14ac:dyDescent="0.25">
      <c r="A95" s="1" t="str">
        <f>IF(receta!A95="","",receta!A95)</f>
        <v>Mojito</v>
      </c>
      <c r="B95" s="4" t="s">
        <v>654</v>
      </c>
      <c r="C95" s="4" t="s">
        <v>653</v>
      </c>
      <c r="D95" s="4"/>
      <c r="E95" s="1"/>
      <c r="F95" s="1"/>
      <c r="G95" s="1"/>
      <c r="H95" s="5"/>
      <c r="I95" s="1"/>
      <c r="J95" s="1"/>
    </row>
    <row r="96" spans="1:10" ht="60" x14ac:dyDescent="0.25">
      <c r="A96" s="1" t="str">
        <f>IF(receta!A96="","",receta!A96)</f>
        <v>Mojito (Sin Alcohol)</v>
      </c>
      <c r="B96" s="1"/>
      <c r="C96" s="4" t="s">
        <v>591</v>
      </c>
      <c r="D96" s="4"/>
      <c r="E96" s="1"/>
      <c r="F96" s="1"/>
      <c r="G96" s="1"/>
      <c r="H96" s="5"/>
      <c r="I96" s="1"/>
      <c r="J96" s="1"/>
    </row>
    <row r="97" spans="1:10" ht="60" x14ac:dyDescent="0.25">
      <c r="A97" s="1" t="str">
        <f>IF(receta!A97="","",receta!A97)</f>
        <v>Mojito Maracuyá</v>
      </c>
      <c r="B97" s="1"/>
      <c r="C97" s="4" t="s">
        <v>590</v>
      </c>
      <c r="D97" s="4"/>
      <c r="E97" s="1"/>
      <c r="F97" s="1"/>
      <c r="G97" s="4"/>
      <c r="H97" s="1"/>
      <c r="I97" s="1"/>
      <c r="J97" s="1"/>
    </row>
    <row r="98" spans="1:10" ht="60" x14ac:dyDescent="0.25">
      <c r="A98" s="1" t="str">
        <f>IF(receta!A98="","",receta!A98)</f>
        <v>Mojito Spritz</v>
      </c>
      <c r="B98" s="1"/>
      <c r="C98" s="4" t="s">
        <v>740</v>
      </c>
      <c r="D98" s="4"/>
      <c r="E98" s="1"/>
      <c r="F98" s="1"/>
      <c r="G98" s="1"/>
      <c r="H98" s="5"/>
      <c r="I98" s="1"/>
      <c r="J98" s="1"/>
    </row>
    <row r="99" spans="1:10" ht="375" x14ac:dyDescent="0.25">
      <c r="A99" s="1" t="str">
        <f>IF(receta!A99="","",receta!A99)</f>
        <v>Moscow Mule</v>
      </c>
      <c r="B99" s="1"/>
      <c r="C99" s="4" t="s">
        <v>328</v>
      </c>
      <c r="D99" s="4"/>
      <c r="E99" s="1" t="s">
        <v>173</v>
      </c>
      <c r="F99" s="5" t="s">
        <v>174</v>
      </c>
      <c r="G99" s="1"/>
      <c r="H99" s="1"/>
      <c r="I99" s="1"/>
      <c r="J99" s="5"/>
    </row>
    <row r="100" spans="1:10" ht="120" x14ac:dyDescent="0.25">
      <c r="A100" s="1" t="str">
        <f>IF(receta!A100="","",receta!A100)</f>
        <v>Naranja Sour</v>
      </c>
      <c r="B100" s="4" t="s">
        <v>741</v>
      </c>
      <c r="C100" s="4" t="s">
        <v>378</v>
      </c>
      <c r="D100" s="4"/>
      <c r="E100" s="1" t="s">
        <v>347</v>
      </c>
      <c r="F100" s="5" t="s">
        <v>346</v>
      </c>
      <c r="G100" s="1"/>
      <c r="H100" s="1"/>
      <c r="I100" s="1"/>
      <c r="J100" s="5"/>
    </row>
    <row r="101" spans="1:10" ht="195" x14ac:dyDescent="0.25">
      <c r="A101" s="1" t="str">
        <f>IF(receta!A101="","",receta!A101)</f>
        <v>Negativismo Lógico</v>
      </c>
      <c r="B101" s="1"/>
      <c r="C101" s="4" t="s">
        <v>754</v>
      </c>
      <c r="D101" s="4"/>
      <c r="E101" s="4"/>
      <c r="F101" s="1"/>
      <c r="G101" s="4" t="s">
        <v>331</v>
      </c>
      <c r="H101" s="1" t="s">
        <v>273</v>
      </c>
      <c r="I101" s="4"/>
      <c r="J101" s="1"/>
    </row>
    <row r="102" spans="1:10" ht="210" x14ac:dyDescent="0.25">
      <c r="A102" s="1" t="str">
        <f>IF(receta!A102="","",receta!A102)</f>
        <v>Negroni</v>
      </c>
      <c r="B102" s="1"/>
      <c r="C102" s="4" t="s">
        <v>381</v>
      </c>
      <c r="D102" s="4" t="s">
        <v>230</v>
      </c>
      <c r="E102" s="1"/>
      <c r="F102" s="1"/>
      <c r="G102" s="1"/>
      <c r="H102" s="1"/>
      <c r="I102" s="1"/>
      <c r="J102" s="1"/>
    </row>
    <row r="103" spans="1:10" ht="150" x14ac:dyDescent="0.25">
      <c r="A103" s="1" t="str">
        <f>IF(receta!A103="","",receta!A103)</f>
        <v>Negroni Sbagliato</v>
      </c>
      <c r="B103" s="1"/>
      <c r="C103" s="4" t="s">
        <v>604</v>
      </c>
      <c r="D103" s="1"/>
      <c r="E103" s="1"/>
      <c r="F103" s="1"/>
      <c r="G103" s="1"/>
      <c r="H103" s="1"/>
      <c r="I103" s="1"/>
      <c r="J103" s="1"/>
    </row>
    <row r="104" spans="1:10" ht="345" x14ac:dyDescent="0.25">
      <c r="A104" s="1" t="str">
        <f>IF(receta!A104="","",receta!A104)</f>
        <v>New York Sour</v>
      </c>
      <c r="B104" s="4" t="s">
        <v>762</v>
      </c>
      <c r="C104" s="4" t="s">
        <v>655</v>
      </c>
      <c r="D104" s="4" t="s">
        <v>492</v>
      </c>
      <c r="E104" s="1" t="s">
        <v>488</v>
      </c>
      <c r="F104" s="5" t="s">
        <v>487</v>
      </c>
      <c r="G104" s="1"/>
      <c r="H104" s="1"/>
      <c r="I104" s="1"/>
      <c r="J104" s="5"/>
    </row>
    <row r="105" spans="1:10" x14ac:dyDescent="0.25">
      <c r="A105" s="1" t="str">
        <f>IF(receta!A105="","",receta!A105)</f>
        <v>No Me Falles</v>
      </c>
      <c r="B105" s="1"/>
      <c r="C105" s="1" t="s">
        <v>378</v>
      </c>
      <c r="D105" s="1"/>
      <c r="E105" s="1" t="s">
        <v>211</v>
      </c>
      <c r="F105" s="1" t="s">
        <v>212</v>
      </c>
      <c r="G105" s="1"/>
      <c r="H105" s="1"/>
      <c r="I105" s="1"/>
      <c r="J105" s="1"/>
    </row>
    <row r="106" spans="1:10" ht="240" x14ac:dyDescent="0.25">
      <c r="A106" s="1" t="str">
        <f>IF(receta!A106="","",receta!A106)</f>
        <v>Old Fashioned</v>
      </c>
      <c r="B106" s="4" t="s">
        <v>656</v>
      </c>
      <c r="C106" s="4"/>
      <c r="D106" s="4" t="s">
        <v>575</v>
      </c>
      <c r="E106" s="1"/>
      <c r="F106" s="1"/>
      <c r="G106" s="1"/>
      <c r="H106" s="1"/>
      <c r="I106" s="1"/>
      <c r="J106" s="1"/>
    </row>
    <row r="107" spans="1:10" ht="192" customHeight="1" x14ac:dyDescent="0.25">
      <c r="A107" s="1" t="str">
        <f>IF(receta!A107="","",receta!A107)</f>
        <v>Padrino</v>
      </c>
      <c r="B107" s="1"/>
      <c r="C107" s="4" t="s">
        <v>353</v>
      </c>
      <c r="D107" s="1"/>
      <c r="E107" s="1"/>
      <c r="F107" s="1"/>
      <c r="G107" s="6"/>
      <c r="H107" s="5"/>
      <c r="I107" s="1"/>
      <c r="J107" s="1"/>
    </row>
    <row r="108" spans="1:10" ht="195" x14ac:dyDescent="0.25">
      <c r="A108" s="1" t="str">
        <f>IF(receta!A108="","",receta!A108)</f>
        <v>Paloma</v>
      </c>
      <c r="B108" s="4" t="s">
        <v>658</v>
      </c>
      <c r="C108" s="4" t="s">
        <v>657</v>
      </c>
      <c r="D108" s="1"/>
      <c r="E108" s="1" t="s">
        <v>538</v>
      </c>
      <c r="F108" s="1" t="s">
        <v>537</v>
      </c>
      <c r="G108" s="1" t="s">
        <v>357</v>
      </c>
      <c r="H108" s="5" t="s">
        <v>262</v>
      </c>
      <c r="I108" s="1"/>
      <c r="J108" s="1"/>
    </row>
    <row r="109" spans="1:10" ht="105" x14ac:dyDescent="0.25">
      <c r="A109" s="1" t="str">
        <f>IF(receta!A109="","",receta!A109)</f>
        <v>Parrón</v>
      </c>
      <c r="B109" s="4" t="s">
        <v>588</v>
      </c>
      <c r="C109" s="4"/>
      <c r="D109" s="4"/>
      <c r="E109" s="1"/>
      <c r="F109" s="1"/>
      <c r="G109" s="1"/>
      <c r="H109" s="1"/>
      <c r="I109" s="1"/>
      <c r="J109" s="1"/>
    </row>
    <row r="110" spans="1:10" ht="90" x14ac:dyDescent="0.25">
      <c r="A110" s="1" t="str">
        <f>IF(receta!A110="","",receta!A110)</f>
        <v>Penicilina</v>
      </c>
      <c r="B110" s="4" t="s">
        <v>689</v>
      </c>
      <c r="C110" s="4" t="s">
        <v>688</v>
      </c>
      <c r="D110" s="1"/>
      <c r="E110" s="4" t="s">
        <v>595</v>
      </c>
      <c r="F110" s="5" t="s">
        <v>555</v>
      </c>
      <c r="G110" s="1"/>
      <c r="H110" s="1"/>
      <c r="I110" s="4"/>
      <c r="J110" s="5"/>
    </row>
    <row r="111" spans="1:10" x14ac:dyDescent="0.25">
      <c r="A111" s="1" t="str">
        <f>IF(receta!A111="","",receta!A111)</f>
        <v>Phil Collins</v>
      </c>
      <c r="B111" s="1"/>
      <c r="C111" s="4" t="s">
        <v>508</v>
      </c>
      <c r="D111" s="1"/>
      <c r="E111" s="1" t="s">
        <v>509</v>
      </c>
      <c r="F111" s="5" t="s">
        <v>512</v>
      </c>
      <c r="G111" s="1"/>
      <c r="H111" s="1"/>
      <c r="I111" s="1"/>
      <c r="J111" s="5"/>
    </row>
    <row r="112" spans="1:10" ht="120" x14ac:dyDescent="0.25">
      <c r="A112" s="1" t="str">
        <f>IF(receta!A112="","",receta!A112)</f>
        <v>Pichuncho</v>
      </c>
      <c r="B112" s="1"/>
      <c r="C112" s="4" t="s">
        <v>384</v>
      </c>
      <c r="D112" s="1"/>
      <c r="E112" s="1" t="s">
        <v>494</v>
      </c>
      <c r="F112" s="5" t="s">
        <v>493</v>
      </c>
      <c r="G112" s="1"/>
      <c r="H112" s="5"/>
      <c r="I112" s="1"/>
      <c r="J112" s="5"/>
    </row>
    <row r="113" spans="1:10" ht="195" x14ac:dyDescent="0.25">
      <c r="A113" s="1" t="str">
        <f>IF(receta!A113="","",receta!A113)</f>
        <v>Piña Colada</v>
      </c>
      <c r="B113" s="1"/>
      <c r="C113" s="4" t="s">
        <v>473</v>
      </c>
      <c r="D113" s="5"/>
      <c r="E113" s="6" t="s">
        <v>424</v>
      </c>
      <c r="F113" s="5" t="s">
        <v>164</v>
      </c>
      <c r="G113" s="6"/>
      <c r="H113" s="5"/>
      <c r="I113" s="6"/>
      <c r="J113" s="5"/>
    </row>
    <row r="114" spans="1:10" x14ac:dyDescent="0.25">
      <c r="A114" s="1" t="str">
        <f>IF(receta!A114="","",receta!A114)</f>
        <v>Piña Colada (Sin Alcohol)</v>
      </c>
      <c r="B114" s="1"/>
      <c r="C114" s="4" t="s">
        <v>326</v>
      </c>
      <c r="D114" s="1"/>
      <c r="E114" s="1"/>
      <c r="F114" s="1"/>
      <c r="G114" s="1"/>
      <c r="H114" s="5"/>
      <c r="I114" s="1"/>
      <c r="J114" s="1"/>
    </row>
    <row r="115" spans="1:10" ht="195" x14ac:dyDescent="0.25">
      <c r="A115" s="1" t="str">
        <f>IF(receta!A115="","",receta!A115)</f>
        <v>Pisco Punch</v>
      </c>
      <c r="B115" s="1"/>
      <c r="C115" s="4" t="s">
        <v>329</v>
      </c>
      <c r="D115" s="4"/>
      <c r="E115" s="1"/>
      <c r="F115" s="1"/>
      <c r="G115" s="1"/>
      <c r="H115" s="5"/>
      <c r="I115" s="1"/>
      <c r="J115" s="1"/>
    </row>
    <row r="116" spans="1:10" ht="409.5" x14ac:dyDescent="0.25">
      <c r="A116" s="1" t="str">
        <f>IF(receta!A116="","",receta!A116)</f>
        <v>Pisco Sour</v>
      </c>
      <c r="B116" s="4" t="s">
        <v>364</v>
      </c>
      <c r="C116" s="4"/>
      <c r="D116" s="4" t="s">
        <v>366</v>
      </c>
      <c r="E116" s="1" t="s">
        <v>167</v>
      </c>
      <c r="F116" s="5" t="s">
        <v>168</v>
      </c>
      <c r="G116" s="1"/>
      <c r="H116" s="5"/>
      <c r="I116" s="1"/>
      <c r="J116" s="5"/>
    </row>
    <row r="117" spans="1:10" ht="210" x14ac:dyDescent="0.25">
      <c r="A117" s="1" t="str">
        <f>IF(receta!A117="","",receta!A117)</f>
        <v>Piscola</v>
      </c>
      <c r="B117" s="4" t="s">
        <v>660</v>
      </c>
      <c r="C117" s="4" t="s">
        <v>659</v>
      </c>
      <c r="D117" s="5"/>
      <c r="E117" s="1" t="s">
        <v>162</v>
      </c>
      <c r="F117" s="5" t="s">
        <v>425</v>
      </c>
      <c r="G117" s="1"/>
      <c r="H117" s="1"/>
      <c r="I117" s="1"/>
      <c r="J117" s="5"/>
    </row>
    <row r="118" spans="1:10" ht="90" x14ac:dyDescent="0.25">
      <c r="A118" s="1" t="str">
        <f>IF(receta!A118="","",receta!A118)</f>
        <v>Pistón</v>
      </c>
      <c r="B118" s="4" t="s">
        <v>662</v>
      </c>
      <c r="C118" s="4" t="s">
        <v>661</v>
      </c>
      <c r="D118" s="1"/>
      <c r="E118" s="1" t="s">
        <v>510</v>
      </c>
      <c r="F118" s="5" t="s">
        <v>511</v>
      </c>
      <c r="G118" s="1"/>
      <c r="H118" s="1"/>
      <c r="I118" s="1"/>
      <c r="J118" s="5"/>
    </row>
    <row r="119" spans="1:10" ht="375" x14ac:dyDescent="0.25">
      <c r="A119" s="1" t="str">
        <f>IF(receta!A119="","",receta!A119)</f>
        <v>Quédate</v>
      </c>
      <c r="B119" s="1"/>
      <c r="C119" s="1" t="s">
        <v>378</v>
      </c>
      <c r="D119" s="4" t="s">
        <v>464</v>
      </c>
      <c r="E119" s="1"/>
      <c r="F119" s="5"/>
      <c r="G119" s="1" t="s">
        <v>295</v>
      </c>
      <c r="H119" s="5" t="s">
        <v>294</v>
      </c>
      <c r="I119" s="1"/>
      <c r="J119" s="5"/>
    </row>
    <row r="120" spans="1:10" ht="75" x14ac:dyDescent="0.25">
      <c r="A120" s="1" t="str">
        <f>IF(receta!A120="","",receta!A120)</f>
        <v>Ramazzotti Spritz</v>
      </c>
      <c r="B120" s="1"/>
      <c r="C120" s="4" t="s">
        <v>360</v>
      </c>
      <c r="D120" s="1"/>
      <c r="E120" s="1" t="s">
        <v>383</v>
      </c>
      <c r="F120" s="5" t="s">
        <v>382</v>
      </c>
      <c r="G120" s="1"/>
      <c r="H120" s="1"/>
      <c r="I120" s="1"/>
      <c r="J120" s="5"/>
    </row>
    <row r="121" spans="1:10" ht="120" x14ac:dyDescent="0.25">
      <c r="A121" s="1" t="str">
        <f>IF(receta!A121="","",receta!A121)</f>
        <v>Ramazzotti Violetto Spritz</v>
      </c>
      <c r="B121" s="1"/>
      <c r="C121" s="4" t="s">
        <v>766</v>
      </c>
      <c r="D121" s="1"/>
      <c r="E121" s="1"/>
      <c r="F121" s="1"/>
      <c r="G121" s="1"/>
      <c r="H121" s="1"/>
      <c r="I121" s="1"/>
      <c r="J121" s="1"/>
    </row>
    <row r="122" spans="1:10" ht="30" x14ac:dyDescent="0.25">
      <c r="A122" s="1" t="str">
        <f>IF(receta!A122="","",receta!A122)</f>
        <v>Ron Cola</v>
      </c>
      <c r="B122" s="1"/>
      <c r="C122" s="4" t="s">
        <v>545</v>
      </c>
      <c r="D122" s="1"/>
      <c r="E122" s="1" t="s">
        <v>519</v>
      </c>
      <c r="F122" s="1" t="s">
        <v>518</v>
      </c>
      <c r="G122" s="1"/>
      <c r="H122" s="1"/>
      <c r="I122" s="1"/>
      <c r="J122" s="1"/>
    </row>
    <row r="123" spans="1:10" ht="135" x14ac:dyDescent="0.25">
      <c r="A123" s="1" t="str">
        <f>IF(receta!A123="","",receta!A123)</f>
        <v>Ruso Blanco</v>
      </c>
      <c r="B123" s="1"/>
      <c r="C123" s="4" t="s">
        <v>663</v>
      </c>
      <c r="D123" s="4" t="s">
        <v>258</v>
      </c>
      <c r="E123" s="1"/>
      <c r="F123" s="5"/>
      <c r="G123" s="1" t="s">
        <v>348</v>
      </c>
      <c r="H123" s="5" t="s">
        <v>182</v>
      </c>
      <c r="I123" s="1"/>
      <c r="J123" s="5"/>
    </row>
    <row r="124" spans="1:10" ht="409.5" x14ac:dyDescent="0.25">
      <c r="A124" s="1" t="str">
        <f>IF(receta!A124="","",receta!A124)</f>
        <v>Ruso Negro</v>
      </c>
      <c r="B124" s="1"/>
      <c r="C124" s="4" t="s">
        <v>474</v>
      </c>
      <c r="D124" s="4" t="s">
        <v>363</v>
      </c>
      <c r="E124" s="1"/>
      <c r="F124" s="1"/>
      <c r="G124" s="1"/>
      <c r="H124" s="1"/>
      <c r="I124" s="1"/>
      <c r="J124" s="1"/>
    </row>
    <row r="125" spans="1:10" ht="330" x14ac:dyDescent="0.25">
      <c r="A125" s="1" t="str">
        <f>IF(receta!A125="","",receta!A125)</f>
        <v>Sangría</v>
      </c>
      <c r="B125" s="4" t="s">
        <v>665</v>
      </c>
      <c r="C125" s="4" t="s">
        <v>664</v>
      </c>
      <c r="D125" s="4"/>
      <c r="E125" s="1"/>
      <c r="F125" s="1"/>
      <c r="G125" s="1"/>
      <c r="H125" s="1"/>
      <c r="I125" s="1"/>
      <c r="J125" s="1"/>
    </row>
    <row r="126" spans="1:10" ht="255" x14ac:dyDescent="0.25">
      <c r="A126" s="1" t="str">
        <f>IF(receta!A126="","",receta!A126)</f>
        <v>Sangrita</v>
      </c>
      <c r="B126" s="1"/>
      <c r="C126" s="4" t="s">
        <v>552</v>
      </c>
      <c r="D126" s="1"/>
      <c r="E126" s="1"/>
      <c r="F126" s="1"/>
      <c r="G126" s="1"/>
      <c r="H126" s="1"/>
      <c r="I126" s="1"/>
      <c r="J126" s="1"/>
    </row>
    <row r="127" spans="1:10" ht="165" x14ac:dyDescent="0.25">
      <c r="A127" s="1" t="str">
        <f>IF(receta!A127="","",receta!A127)</f>
        <v>Sea Breeze</v>
      </c>
      <c r="B127" s="1"/>
      <c r="C127" s="4" t="s">
        <v>735</v>
      </c>
      <c r="D127" s="1"/>
      <c r="E127" s="1" t="s">
        <v>566</v>
      </c>
      <c r="F127" s="1" t="s">
        <v>565</v>
      </c>
      <c r="G127" s="1"/>
      <c r="H127" s="5"/>
      <c r="I127" s="1"/>
      <c r="J127" s="1"/>
    </row>
    <row r="128" spans="1:10" ht="409.5" x14ac:dyDescent="0.25">
      <c r="A128" s="1" t="str">
        <f>IF(receta!A128="","",receta!A128)</f>
        <v>Serena Libre</v>
      </c>
      <c r="B128" s="1"/>
      <c r="C128" s="4" t="s">
        <v>330</v>
      </c>
      <c r="D128" s="4"/>
      <c r="E128" s="1"/>
      <c r="F128" s="1"/>
      <c r="G128" s="1"/>
      <c r="H128" s="1"/>
      <c r="I128" s="1"/>
      <c r="J128" s="1"/>
    </row>
    <row r="129" spans="1:10" ht="270" x14ac:dyDescent="0.25">
      <c r="A129" s="1" t="str">
        <f>IF(receta!A129="","",receta!A129)</f>
        <v>Sexo en la Playa</v>
      </c>
      <c r="B129" s="1"/>
      <c r="C129" s="4" t="s">
        <v>376</v>
      </c>
      <c r="D129" s="1"/>
      <c r="E129" s="1"/>
      <c r="F129" s="1"/>
      <c r="G129" s="1"/>
      <c r="H129" s="1"/>
      <c r="I129" s="1"/>
      <c r="J129" s="1"/>
    </row>
    <row r="130" spans="1:10" ht="45" x14ac:dyDescent="0.25">
      <c r="A130" s="1" t="str">
        <f>IF(receta!A130="","",receta!A130)</f>
        <v>Sexo Seguro en la Playa</v>
      </c>
      <c r="B130" s="1"/>
      <c r="C130" s="4" t="s">
        <v>377</v>
      </c>
      <c r="D130" s="1"/>
      <c r="E130" s="1"/>
      <c r="F130" s="1"/>
      <c r="G130" s="1"/>
      <c r="H130" s="1"/>
      <c r="I130" s="1"/>
      <c r="J130" s="1"/>
    </row>
    <row r="131" spans="1:10" ht="210" x14ac:dyDescent="0.25">
      <c r="A131" s="1" t="str">
        <f>IF(receta!A131="","",receta!A131)</f>
        <v>Sidecar</v>
      </c>
      <c r="B131" s="1"/>
      <c r="C131" s="4" t="s">
        <v>475</v>
      </c>
      <c r="D131" s="4"/>
      <c r="E131" s="1"/>
      <c r="F131" s="1"/>
      <c r="G131" s="1"/>
      <c r="H131" s="5"/>
      <c r="I131" s="1"/>
      <c r="J131" s="1"/>
    </row>
    <row r="132" spans="1:10" x14ac:dyDescent="0.25">
      <c r="A132" s="1" t="str">
        <f>IF(receta!A132="","",receta!A132)</f>
        <v>Síndrome Impostor</v>
      </c>
      <c r="B132" s="1"/>
      <c r="C132" s="1" t="s">
        <v>378</v>
      </c>
      <c r="D132" s="1"/>
      <c r="E132" s="1" t="s">
        <v>170</v>
      </c>
      <c r="F132" s="5" t="s">
        <v>169</v>
      </c>
      <c r="G132" s="1"/>
      <c r="H132" s="1"/>
      <c r="I132" s="1"/>
      <c r="J132" s="5"/>
    </row>
    <row r="133" spans="1:10" x14ac:dyDescent="0.25">
      <c r="A133" s="1" t="str">
        <f>IF(receta!A133="","",receta!A133)</f>
        <v>Sour (Sin Alcohol)</v>
      </c>
      <c r="B133" s="1"/>
      <c r="C133" s="4" t="s">
        <v>326</v>
      </c>
      <c r="D133" s="4"/>
      <c r="E133" s="1"/>
      <c r="F133" s="1"/>
      <c r="G133" s="1"/>
      <c r="H133" s="1"/>
      <c r="I133" s="1"/>
      <c r="J133" s="1"/>
    </row>
    <row r="134" spans="1:10" ht="409.5" x14ac:dyDescent="0.25">
      <c r="A134" s="1" t="str">
        <f>IF(receta!A134="","",receta!A134)</f>
        <v>Tequila Sunrise</v>
      </c>
      <c r="B134" s="1"/>
      <c r="C134" s="4" t="s">
        <v>598</v>
      </c>
      <c r="D134" s="4" t="s">
        <v>607</v>
      </c>
      <c r="E134" s="4" t="s">
        <v>600</v>
      </c>
      <c r="F134" s="5" t="s">
        <v>599</v>
      </c>
      <c r="G134" s="4"/>
      <c r="H134" s="5"/>
      <c r="I134" s="4"/>
      <c r="J134" s="5"/>
    </row>
    <row r="135" spans="1:10" ht="150" x14ac:dyDescent="0.25">
      <c r="A135" s="1" t="str">
        <f>IF(receta!A135="","",receta!A135)</f>
        <v>Terremoto</v>
      </c>
      <c r="B135" s="4" t="s">
        <v>667</v>
      </c>
      <c r="C135" s="4" t="s">
        <v>666</v>
      </c>
      <c r="D135" s="4"/>
      <c r="E135" s="1"/>
      <c r="F135" s="1"/>
      <c r="G135" s="1"/>
      <c r="H135" s="1"/>
      <c r="I135" s="1"/>
      <c r="J135" s="1"/>
    </row>
    <row r="136" spans="1:10" ht="180" x14ac:dyDescent="0.25">
      <c r="A136" s="1" t="str">
        <f>IF(receta!A136="","",receta!A136)</f>
        <v>Terremoto (Sin Alcohol)</v>
      </c>
      <c r="B136" s="4" t="s">
        <v>669</v>
      </c>
      <c r="C136" s="4" t="s">
        <v>668</v>
      </c>
      <c r="D136" s="4"/>
      <c r="E136" s="1" t="s">
        <v>301</v>
      </c>
      <c r="F136" s="5" t="s">
        <v>302</v>
      </c>
      <c r="G136" s="1"/>
      <c r="H136" s="1"/>
      <c r="I136" s="1"/>
      <c r="J136" s="5"/>
    </row>
    <row r="137" spans="1:10" ht="409.5" x14ac:dyDescent="0.25">
      <c r="A137" s="1" t="str">
        <f>IF(receta!A137="","",receta!A137)</f>
        <v>Tinto de Verano</v>
      </c>
      <c r="B137" s="13"/>
      <c r="C137" s="1"/>
      <c r="D137" s="4" t="s">
        <v>441</v>
      </c>
      <c r="E137" s="1"/>
      <c r="F137" s="1"/>
      <c r="G137" s="1"/>
      <c r="H137" s="1"/>
      <c r="I137" s="1"/>
      <c r="J137" s="1"/>
    </row>
    <row r="138" spans="1:10" ht="409.5" x14ac:dyDescent="0.25">
      <c r="A138" s="1" t="str">
        <f>IF(receta!A138="","",receta!A138)</f>
        <v>Tom Collins</v>
      </c>
      <c r="B138" s="4"/>
      <c r="C138" s="4" t="s">
        <v>780</v>
      </c>
      <c r="D138" s="1"/>
      <c r="E138" s="1"/>
      <c r="F138" s="1"/>
      <c r="G138" s="1"/>
      <c r="H138" s="1"/>
      <c r="I138" s="1"/>
      <c r="J138" s="1"/>
    </row>
    <row r="139" spans="1:10" ht="195" x14ac:dyDescent="0.25">
      <c r="A139" s="1" t="str">
        <f>IF(receta!A139="","",receta!A139)</f>
        <v>Trikahue</v>
      </c>
      <c r="B139" s="1"/>
      <c r="C139" s="4" t="s">
        <v>594</v>
      </c>
      <c r="D139" s="4"/>
      <c r="E139" s="1"/>
      <c r="F139" s="1"/>
      <c r="G139" s="1" t="s">
        <v>422</v>
      </c>
      <c r="H139" s="1" t="s">
        <v>421</v>
      </c>
      <c r="I139" s="1"/>
      <c r="J139" s="1"/>
    </row>
    <row r="140" spans="1:10" ht="409.5" x14ac:dyDescent="0.25">
      <c r="A140" s="1" t="str">
        <f>IF(receta!A140="","",receta!A140)</f>
        <v>Tropezón</v>
      </c>
      <c r="B140" s="4" t="s">
        <v>719</v>
      </c>
      <c r="C140" s="4" t="s">
        <v>718</v>
      </c>
      <c r="D140" s="4" t="s">
        <v>351</v>
      </c>
      <c r="E140" s="1" t="s">
        <v>427</v>
      </c>
      <c r="F140" s="5" t="s">
        <v>426</v>
      </c>
      <c r="G140" s="1"/>
      <c r="H140" s="1"/>
      <c r="I140" s="1"/>
      <c r="J140" s="5"/>
    </row>
    <row r="141" spans="1:10" ht="409.5" x14ac:dyDescent="0.25">
      <c r="A141" s="1" t="str">
        <f>IF(receta!A141="","",receta!A141)</f>
        <v>Vaina</v>
      </c>
      <c r="B141" s="4" t="s">
        <v>763</v>
      </c>
      <c r="C141" s="4" t="s">
        <v>699</v>
      </c>
      <c r="D141" s="4" t="s">
        <v>627</v>
      </c>
      <c r="E141" s="4" t="s">
        <v>624</v>
      </c>
      <c r="F141" s="4" t="s">
        <v>625</v>
      </c>
      <c r="G141" s="1"/>
      <c r="H141" s="1"/>
      <c r="I141" s="4"/>
      <c r="J141" s="4"/>
    </row>
    <row r="142" spans="1:10" ht="60" x14ac:dyDescent="0.25">
      <c r="A142" s="1" t="str">
        <f>IF(receta!A142="","",receta!A142)</f>
        <v>Valentín</v>
      </c>
      <c r="B142" s="1"/>
      <c r="C142" s="4" t="s">
        <v>670</v>
      </c>
      <c r="D142" s="4"/>
      <c r="E142" s="4" t="s">
        <v>253</v>
      </c>
      <c r="F142" s="5" t="s">
        <v>252</v>
      </c>
      <c r="G142" s="1"/>
      <c r="H142" s="1"/>
      <c r="I142" s="4"/>
      <c r="J142" s="5"/>
    </row>
    <row r="143" spans="1:10" ht="409.5" x14ac:dyDescent="0.25">
      <c r="A143" s="1" t="str">
        <f>IF(receta!A143="","",receta!A143)</f>
        <v>Vampiro</v>
      </c>
      <c r="B143" s="4" t="s">
        <v>672</v>
      </c>
      <c r="C143" s="4" t="s">
        <v>671</v>
      </c>
      <c r="D143" s="4" t="s">
        <v>551</v>
      </c>
      <c r="E143" s="1" t="s">
        <v>549</v>
      </c>
      <c r="F143" s="1" t="s">
        <v>550</v>
      </c>
      <c r="G143" s="1"/>
      <c r="H143" s="1"/>
      <c r="I143" s="1"/>
      <c r="J143" s="1"/>
    </row>
    <row r="144" spans="1:10" ht="409.5" x14ac:dyDescent="0.25">
      <c r="A144" s="1" t="str">
        <f>IF(receta!A144="","",receta!A144)</f>
        <v>Venganza</v>
      </c>
      <c r="B144" s="1"/>
      <c r="C144" s="1" t="s">
        <v>378</v>
      </c>
      <c r="D144" s="4" t="s">
        <v>354</v>
      </c>
      <c r="E144" s="1" t="s">
        <v>317</v>
      </c>
      <c r="F144" s="1" t="s">
        <v>316</v>
      </c>
      <c r="G144" s="1"/>
      <c r="H144" s="1"/>
      <c r="I144" s="1"/>
      <c r="J144" s="1"/>
    </row>
    <row r="145" spans="1:10" ht="409.5" x14ac:dyDescent="0.25">
      <c r="A145" s="1" t="str">
        <f>IF(receta!A145="","",receta!A145)</f>
        <v>Vermouth con Soda</v>
      </c>
      <c r="B145" s="4" t="s">
        <v>673</v>
      </c>
      <c r="C145" s="4" t="s">
        <v>767</v>
      </c>
      <c r="D145" s="4" t="s">
        <v>597</v>
      </c>
      <c r="E145" s="1" t="s">
        <v>557</v>
      </c>
      <c r="F145" s="1" t="s">
        <v>556</v>
      </c>
      <c r="G145" s="1"/>
      <c r="H145" s="1"/>
      <c r="I145" s="1"/>
      <c r="J145" s="1"/>
    </row>
    <row r="146" spans="1:10" ht="120" x14ac:dyDescent="0.25">
      <c r="A146" s="1" t="str">
        <f>IF(receta!A146="","",receta!A146)</f>
        <v>Violetto Tonic</v>
      </c>
      <c r="B146" s="1"/>
      <c r="C146" s="4" t="s">
        <v>766</v>
      </c>
      <c r="D146" s="1"/>
      <c r="E146" s="1"/>
      <c r="F146" s="1"/>
      <c r="G146" s="1"/>
      <c r="H146" s="1"/>
      <c r="I146" s="1"/>
      <c r="J146" s="1"/>
    </row>
    <row r="147" spans="1:10" ht="240" x14ac:dyDescent="0.25">
      <c r="A147" s="1" t="str">
        <f>IF(receta!A147="","",receta!A147)</f>
        <v>Vodka Cranberry</v>
      </c>
      <c r="B147" s="1"/>
      <c r="C147" s="4" t="s">
        <v>733</v>
      </c>
      <c r="D147" s="4"/>
      <c r="E147" s="1" t="s">
        <v>727</v>
      </c>
      <c r="F147" s="5" t="s">
        <v>728</v>
      </c>
      <c r="G147" s="1"/>
      <c r="H147" s="5"/>
      <c r="I147" s="1"/>
      <c r="J147" s="5"/>
    </row>
    <row r="148" spans="1:10" ht="225" x14ac:dyDescent="0.25">
      <c r="A148" s="1" t="str">
        <f>IF(receta!A148="","",receta!A148)</f>
        <v>Whiscola</v>
      </c>
      <c r="B148" s="1"/>
      <c r="C148" s="4" t="s">
        <v>701</v>
      </c>
      <c r="D148" s="1"/>
      <c r="E148" s="1" t="s">
        <v>703</v>
      </c>
      <c r="F148" s="5" t="s">
        <v>702</v>
      </c>
      <c r="G148" s="1"/>
      <c r="H148" s="1"/>
      <c r="I148" s="1"/>
      <c r="J148" s="5"/>
    </row>
    <row r="149" spans="1:10" ht="409.5" x14ac:dyDescent="0.25">
      <c r="A149" s="1" t="str">
        <f>IF(receta!A149="","",receta!A149)</f>
        <v>Whiskey Highball</v>
      </c>
      <c r="B149" s="1"/>
      <c r="C149" s="4" t="s">
        <v>705</v>
      </c>
      <c r="D149" s="4" t="s">
        <v>724</v>
      </c>
      <c r="E149" s="1" t="s">
        <v>721</v>
      </c>
      <c r="F149" s="5" t="s">
        <v>722</v>
      </c>
      <c r="G149" s="1"/>
      <c r="H149" s="1"/>
      <c r="I149" s="1"/>
      <c r="J149" s="5"/>
    </row>
    <row r="150" spans="1:10" ht="409.5" x14ac:dyDescent="0.25">
      <c r="A150" s="1" t="str">
        <f>IF(receta!A150="","",receta!A150)</f>
        <v>Whisky Sour</v>
      </c>
      <c r="B150" s="4" t="s">
        <v>741</v>
      </c>
      <c r="C150" s="4" t="s">
        <v>367</v>
      </c>
      <c r="D150" s="4" t="s">
        <v>362</v>
      </c>
      <c r="E150" s="1" t="s">
        <v>481</v>
      </c>
      <c r="F150" s="1" t="s">
        <v>480</v>
      </c>
      <c r="G150" s="1"/>
      <c r="H150" s="5"/>
      <c r="I150" s="1"/>
      <c r="J150" s="1"/>
    </row>
    <row r="151" spans="1:10" ht="180" x14ac:dyDescent="0.25">
      <c r="A151" s="1" t="str">
        <f>IF(receta!A151="","",receta!A151)</f>
        <v>Bramble</v>
      </c>
      <c r="B151" s="4" t="s">
        <v>774</v>
      </c>
      <c r="C151" s="4" t="s">
        <v>773</v>
      </c>
      <c r="D151" s="4"/>
      <c r="E151" s="1"/>
      <c r="F151" s="1"/>
      <c r="G151" s="1"/>
      <c r="H151" s="5"/>
      <c r="I151" s="1"/>
      <c r="J151" s="1"/>
    </row>
    <row r="152" spans="1:10" ht="180" x14ac:dyDescent="0.25">
      <c r="A152" s="1" t="str">
        <f>IF(receta!A152="","",receta!A152)</f>
        <v>Pantera Rosa</v>
      </c>
      <c r="B152" s="1"/>
      <c r="C152" s="4" t="s">
        <v>779</v>
      </c>
      <c r="D152" s="4"/>
      <c r="E152" s="1" t="s">
        <v>778</v>
      </c>
      <c r="F152" s="1" t="s">
        <v>777</v>
      </c>
      <c r="G152" s="1"/>
      <c r="H152" s="5"/>
      <c r="I152" s="1"/>
      <c r="J152" s="1"/>
    </row>
    <row r="153" spans="1:10" ht="150" x14ac:dyDescent="0.25">
      <c r="A153" s="1" t="str">
        <f>IF(receta!A153="","",receta!A153)</f>
        <v>Gin Basil Smash</v>
      </c>
      <c r="B153" s="4" t="s">
        <v>783</v>
      </c>
      <c r="C153" s="4" t="s">
        <v>782</v>
      </c>
      <c r="D153" s="4"/>
      <c r="E153" s="1"/>
      <c r="F153" s="1"/>
      <c r="G153" s="1"/>
      <c r="H153" s="5"/>
      <c r="I153" s="1"/>
      <c r="J153" s="1"/>
    </row>
    <row r="154" spans="1:10" x14ac:dyDescent="0.25">
      <c r="A154" s="1" t="str">
        <f>IF(receta!A154="","",receta!A154)</f>
        <v/>
      </c>
      <c r="B154" s="1"/>
      <c r="C154" s="4"/>
      <c r="D154" s="4"/>
      <c r="E154" s="1"/>
      <c r="F154" s="1"/>
      <c r="G154" s="1"/>
      <c r="H154" s="5"/>
      <c r="I154" s="1"/>
      <c r="J154" s="1"/>
    </row>
    <row r="155" spans="1:10" x14ac:dyDescent="0.25">
      <c r="A155" s="1" t="str">
        <f>IF(receta!A155="","",receta!A155)</f>
        <v/>
      </c>
      <c r="B155" s="1"/>
      <c r="C155" s="4"/>
      <c r="D155" s="4"/>
      <c r="E155" s="1"/>
      <c r="F155" s="1"/>
      <c r="G155" s="1"/>
      <c r="H155" s="5"/>
      <c r="I155" s="1"/>
      <c r="J155" s="1"/>
    </row>
    <row r="156" spans="1:10" x14ac:dyDescent="0.25">
      <c r="A156" s="1" t="str">
        <f>IF(receta!A156="","",receta!A156)</f>
        <v/>
      </c>
      <c r="B156" s="1"/>
      <c r="C156" s="4"/>
      <c r="D156" s="4"/>
      <c r="E156" s="1"/>
      <c r="F156" s="1"/>
      <c r="G156" s="1"/>
      <c r="H156" s="5"/>
      <c r="I156" s="1"/>
      <c r="J156" s="1"/>
    </row>
    <row r="157" spans="1:10" x14ac:dyDescent="0.25">
      <c r="A157" s="1" t="str">
        <f>IF(receta!A157="","",receta!A157)</f>
        <v/>
      </c>
      <c r="B157" s="1"/>
      <c r="C157" s="4"/>
      <c r="D157" s="4"/>
      <c r="E157" s="1"/>
      <c r="F157" s="1"/>
      <c r="G157" s="1"/>
      <c r="H157" s="5"/>
      <c r="I157" s="1"/>
      <c r="J157" s="1"/>
    </row>
    <row r="158" spans="1:10" x14ac:dyDescent="0.25">
      <c r="A158" s="1" t="str">
        <f>IF(receta!A158="","",receta!A158)</f>
        <v/>
      </c>
      <c r="B158" s="1"/>
      <c r="C158" s="4"/>
      <c r="D158" s="4"/>
      <c r="E158" s="1"/>
      <c r="F158" s="1"/>
      <c r="G158" s="1"/>
      <c r="H158" s="5"/>
      <c r="I158" s="1"/>
      <c r="J158" s="1"/>
    </row>
    <row r="159" spans="1:10" x14ac:dyDescent="0.25">
      <c r="A159" s="1" t="str">
        <f>IF(receta!A159="","",receta!A159)</f>
        <v/>
      </c>
      <c r="B159" s="1"/>
      <c r="C159" s="4"/>
      <c r="D159" s="4"/>
      <c r="E159" s="1"/>
      <c r="F159" s="1"/>
      <c r="G159" s="1"/>
      <c r="H159" s="5"/>
      <c r="I159" s="1"/>
      <c r="J159" s="1"/>
    </row>
    <row r="160" spans="1:10" x14ac:dyDescent="0.25">
      <c r="A160" s="1" t="str">
        <f>IF(receta!A160="","",receta!A160)</f>
        <v/>
      </c>
      <c r="B160" s="1"/>
      <c r="C160" s="4"/>
      <c r="D160" s="4"/>
      <c r="E160" s="1"/>
      <c r="F160" s="1"/>
      <c r="G160" s="1"/>
      <c r="H160" s="5"/>
      <c r="I160" s="1"/>
      <c r="J160" s="1"/>
    </row>
    <row r="161" spans="1:10" x14ac:dyDescent="0.25">
      <c r="A161" s="1" t="str">
        <f>IF(receta!A161="","",receta!A161)</f>
        <v/>
      </c>
      <c r="B161" s="1"/>
      <c r="C161" s="4"/>
      <c r="D161" s="4"/>
      <c r="E161" s="1"/>
      <c r="F161" s="1"/>
      <c r="G161" s="1"/>
      <c r="H161" s="5"/>
      <c r="I161" s="1"/>
      <c r="J161" s="1"/>
    </row>
    <row r="162" spans="1:10" x14ac:dyDescent="0.25">
      <c r="A162" s="1" t="str">
        <f>IF(receta!A162="","",receta!A162)</f>
        <v/>
      </c>
      <c r="B162" s="1"/>
      <c r="C162" s="4"/>
      <c r="D162" s="4"/>
      <c r="E162" s="1"/>
      <c r="F162" s="1"/>
      <c r="G162" s="1"/>
      <c r="H162" s="5"/>
      <c r="I162" s="1"/>
      <c r="J162" s="1"/>
    </row>
    <row r="163" spans="1:10" x14ac:dyDescent="0.25">
      <c r="A163" s="1" t="str">
        <f>IF(receta!A163="","",receta!A163)</f>
        <v/>
      </c>
      <c r="B163" s="1"/>
      <c r="C163" s="4"/>
      <c r="D163" s="4"/>
      <c r="E163" s="1"/>
      <c r="F163" s="1"/>
      <c r="G163" s="1"/>
      <c r="H163" s="5"/>
      <c r="I163" s="1"/>
      <c r="J163" s="1"/>
    </row>
    <row r="164" spans="1:10" x14ac:dyDescent="0.25">
      <c r="A164" s="1" t="str">
        <f>IF(receta!A164="","",receta!A164)</f>
        <v/>
      </c>
      <c r="B164" s="1"/>
      <c r="C164" s="4"/>
      <c r="D164" s="4"/>
      <c r="E164" s="1"/>
      <c r="F164" s="1"/>
      <c r="G164" s="1"/>
      <c r="H164" s="5"/>
      <c r="I164" s="1"/>
      <c r="J164" s="1"/>
    </row>
    <row r="165" spans="1:10" x14ac:dyDescent="0.25">
      <c r="A165" s="1" t="str">
        <f>IF(receta!A165="","",receta!A165)</f>
        <v/>
      </c>
      <c r="B165" s="1"/>
      <c r="C165" s="4"/>
      <c r="D165" s="4"/>
      <c r="E165" s="1"/>
      <c r="F165" s="1"/>
      <c r="G165" s="1"/>
      <c r="H165" s="5"/>
      <c r="I165" s="1"/>
      <c r="J165" s="1"/>
    </row>
    <row r="166" spans="1:10" x14ac:dyDescent="0.25">
      <c r="A166" s="1" t="str">
        <f>IF(receta!A166="","",receta!A166)</f>
        <v/>
      </c>
      <c r="B166" s="1"/>
      <c r="C166" s="4"/>
      <c r="D166" s="4"/>
      <c r="E166" s="1"/>
      <c r="F166" s="1"/>
      <c r="G166" s="1"/>
      <c r="H166" s="5"/>
      <c r="I166" s="1"/>
      <c r="J166" s="1"/>
    </row>
    <row r="167" spans="1:10" x14ac:dyDescent="0.25">
      <c r="A167" s="1" t="str">
        <f>IF(receta!A167="","",receta!A167)</f>
        <v/>
      </c>
      <c r="B167" s="1"/>
      <c r="C167" s="4"/>
      <c r="D167" s="4"/>
      <c r="E167" s="1"/>
      <c r="F167" s="1"/>
      <c r="G167" s="1"/>
      <c r="H167" s="5"/>
      <c r="I167" s="1"/>
      <c r="J167" s="1"/>
    </row>
    <row r="168" spans="1:10" x14ac:dyDescent="0.25">
      <c r="A168" s="1" t="str">
        <f>IF(receta!A168="","",receta!A168)</f>
        <v/>
      </c>
      <c r="B168" s="1"/>
      <c r="C168" s="4"/>
      <c r="D168" s="4"/>
      <c r="E168" s="1"/>
      <c r="F168" s="1"/>
      <c r="G168" s="1"/>
      <c r="H168" s="5"/>
      <c r="I168" s="1"/>
      <c r="J168" s="1"/>
    </row>
    <row r="169" spans="1:10" x14ac:dyDescent="0.25">
      <c r="A169" s="1" t="str">
        <f>IF(receta!A169="","",receta!A169)</f>
        <v/>
      </c>
      <c r="B169" s="1"/>
      <c r="C169" s="4"/>
      <c r="D169" s="4"/>
      <c r="E169" s="1"/>
      <c r="F169" s="1"/>
      <c r="G169" s="1"/>
      <c r="H169" s="5"/>
      <c r="I169" s="1"/>
      <c r="J169" s="1"/>
    </row>
    <row r="170" spans="1:10" x14ac:dyDescent="0.25">
      <c r="A170" s="1" t="str">
        <f>IF(receta!A170="","",receta!A170)</f>
        <v/>
      </c>
      <c r="B170" s="1"/>
      <c r="C170" s="4"/>
      <c r="D170" s="4"/>
      <c r="E170" s="1"/>
      <c r="F170" s="1"/>
      <c r="G170" s="1"/>
      <c r="H170" s="5"/>
      <c r="I170" s="1"/>
      <c r="J170" s="1"/>
    </row>
    <row r="171" spans="1:10" x14ac:dyDescent="0.25">
      <c r="A171" s="1" t="str">
        <f>IF(receta!A171="","",receta!A171)</f>
        <v/>
      </c>
      <c r="B171" s="1"/>
      <c r="C171" s="4"/>
      <c r="D171" s="4"/>
      <c r="E171" s="1"/>
      <c r="F171" s="1"/>
      <c r="G171" s="1"/>
      <c r="H171" s="5"/>
      <c r="I171" s="1"/>
      <c r="J171" s="1"/>
    </row>
    <row r="172" spans="1:10" x14ac:dyDescent="0.25">
      <c r="A172" s="1" t="str">
        <f>IF(receta!A172="","",receta!A172)</f>
        <v/>
      </c>
      <c r="B172" s="1"/>
      <c r="C172" s="4"/>
      <c r="D172" s="4"/>
      <c r="E172" s="1"/>
      <c r="F172" s="1"/>
      <c r="G172" s="1"/>
      <c r="H172" s="5"/>
      <c r="I172" s="1"/>
      <c r="J172" s="1"/>
    </row>
    <row r="173" spans="1:10" x14ac:dyDescent="0.25">
      <c r="A173" s="1" t="str">
        <f>IF(receta!A173="","",receta!A173)</f>
        <v/>
      </c>
      <c r="B173" s="1"/>
      <c r="C173" s="4"/>
      <c r="D173" s="4"/>
      <c r="E173" s="1"/>
      <c r="F173" s="1"/>
      <c r="G173" s="1"/>
      <c r="H173" s="5"/>
      <c r="I173" s="1"/>
      <c r="J173" s="1"/>
    </row>
    <row r="174" spans="1:10" x14ac:dyDescent="0.25">
      <c r="A174" s="1" t="str">
        <f>IF(receta!A174="","",receta!A174)</f>
        <v/>
      </c>
      <c r="B174" s="1"/>
      <c r="C174" s="4"/>
      <c r="D174" s="4"/>
      <c r="E174" s="1"/>
      <c r="F174" s="1"/>
      <c r="G174" s="1"/>
      <c r="H174" s="5"/>
      <c r="I174" s="1"/>
      <c r="J174" s="1"/>
    </row>
    <row r="175" spans="1:10" x14ac:dyDescent="0.25">
      <c r="A175" s="1" t="str">
        <f>IF(receta!A175="","",receta!A175)</f>
        <v/>
      </c>
      <c r="B175" s="1"/>
      <c r="C175" s="4"/>
      <c r="D175" s="4"/>
      <c r="E175" s="1"/>
      <c r="F175" s="1"/>
      <c r="G175" s="1"/>
      <c r="H175" s="5"/>
      <c r="I175" s="1"/>
      <c r="J175" s="1"/>
    </row>
    <row r="176" spans="1:10" x14ac:dyDescent="0.25">
      <c r="A176" s="1" t="str">
        <f>IF(receta!A176="","",receta!A176)</f>
        <v/>
      </c>
      <c r="B176" s="1"/>
      <c r="C176" s="4"/>
      <c r="D176" s="4"/>
      <c r="E176" s="1"/>
      <c r="F176" s="1"/>
      <c r="G176" s="1"/>
      <c r="H176" s="5"/>
      <c r="I176" s="1"/>
      <c r="J176" s="1"/>
    </row>
    <row r="177" spans="1:10" x14ac:dyDescent="0.25">
      <c r="A177" s="1" t="str">
        <f>IF(receta!A177="","",receta!A177)</f>
        <v/>
      </c>
      <c r="B177" s="1"/>
      <c r="C177" s="4"/>
      <c r="D177" s="4"/>
      <c r="E177" s="1"/>
      <c r="F177" s="1"/>
      <c r="G177" s="1"/>
      <c r="H177" s="5"/>
      <c r="I177" s="1"/>
      <c r="J177" s="1"/>
    </row>
    <row r="178" spans="1:10" x14ac:dyDescent="0.25">
      <c r="A178" s="1" t="str">
        <f>IF(receta!A178="","",receta!A178)</f>
        <v/>
      </c>
      <c r="B178" s="1"/>
      <c r="C178" s="4"/>
      <c r="D178" s="4"/>
      <c r="E178" s="1"/>
      <c r="F178" s="1"/>
      <c r="G178" s="1"/>
      <c r="H178" s="5"/>
      <c r="I178" s="1"/>
      <c r="J178" s="1"/>
    </row>
    <row r="179" spans="1:10" x14ac:dyDescent="0.25">
      <c r="A179" s="1" t="str">
        <f>IF(receta!A179="","",receta!A179)</f>
        <v/>
      </c>
      <c r="B179" s="1"/>
      <c r="C179" s="4"/>
      <c r="D179" s="4"/>
      <c r="E179" s="1"/>
      <c r="F179" s="1"/>
      <c r="G179" s="1"/>
      <c r="H179" s="5"/>
      <c r="I179" s="1"/>
      <c r="J179" s="1"/>
    </row>
    <row r="180" spans="1:10" x14ac:dyDescent="0.25">
      <c r="A180" s="1" t="str">
        <f>IF(receta!A180="","",receta!A180)</f>
        <v/>
      </c>
      <c r="B180" s="1"/>
      <c r="C180" s="4"/>
      <c r="D180" s="4"/>
      <c r="E180" s="1"/>
      <c r="F180" s="1"/>
      <c r="G180" s="1"/>
      <c r="H180" s="5"/>
      <c r="I180" s="1"/>
      <c r="J180" s="1"/>
    </row>
    <row r="181" spans="1:10" x14ac:dyDescent="0.25">
      <c r="A181" s="1" t="str">
        <f>IF(receta!A181="","",receta!A181)</f>
        <v/>
      </c>
      <c r="B181" s="1"/>
      <c r="C181" s="4"/>
      <c r="D181" s="4"/>
      <c r="E181" s="1"/>
      <c r="F181" s="1"/>
      <c r="G181" s="1"/>
      <c r="H181" s="5"/>
      <c r="I181" s="1"/>
      <c r="J181" s="1"/>
    </row>
    <row r="182" spans="1:10" x14ac:dyDescent="0.25">
      <c r="A182" s="1" t="str">
        <f>IF(receta!A182="","",receta!A182)</f>
        <v/>
      </c>
      <c r="B182" s="1"/>
      <c r="C182" s="4"/>
      <c r="D182" s="4"/>
      <c r="E182" s="1"/>
      <c r="F182" s="1"/>
      <c r="G182" s="1"/>
      <c r="H182" s="5"/>
      <c r="I182" s="1"/>
      <c r="J182" s="1"/>
    </row>
    <row r="183" spans="1:10" x14ac:dyDescent="0.25">
      <c r="A183" s="1" t="str">
        <f>IF(receta!A183="","",receta!A183)</f>
        <v/>
      </c>
      <c r="B183" s="1"/>
      <c r="C183" s="4"/>
      <c r="D183" s="4"/>
      <c r="E183" s="1"/>
      <c r="F183" s="1"/>
      <c r="G183" s="1"/>
      <c r="H183" s="5"/>
      <c r="I183" s="1"/>
      <c r="J183" s="1"/>
    </row>
    <row r="184" spans="1:10" x14ac:dyDescent="0.25">
      <c r="A184" s="1" t="str">
        <f>IF(receta!A184="","",receta!A184)</f>
        <v/>
      </c>
      <c r="B184" s="1"/>
      <c r="C184" s="4"/>
      <c r="D184" s="4"/>
      <c r="E184" s="1"/>
      <c r="F184" s="1"/>
      <c r="G184" s="1"/>
      <c r="H184" s="5"/>
      <c r="I184" s="1"/>
      <c r="J184" s="1"/>
    </row>
    <row r="185" spans="1:10" x14ac:dyDescent="0.25">
      <c r="A185" s="1" t="str">
        <f>IF(receta!A185="","",receta!A185)</f>
        <v/>
      </c>
      <c r="B185" s="1"/>
      <c r="C185" s="4"/>
      <c r="D185" s="4"/>
      <c r="E185" s="1"/>
      <c r="F185" s="1"/>
      <c r="G185" s="1"/>
      <c r="H185" s="5"/>
      <c r="I185" s="1"/>
      <c r="J185" s="1"/>
    </row>
    <row r="186" spans="1:10" x14ac:dyDescent="0.25">
      <c r="A186" s="1" t="str">
        <f>IF(receta!A186="","",receta!A186)</f>
        <v/>
      </c>
      <c r="B186" s="1"/>
      <c r="C186" s="4"/>
      <c r="D186" s="4"/>
      <c r="E186" s="1"/>
      <c r="F186" s="1"/>
      <c r="G186" s="1"/>
      <c r="H186" s="5"/>
      <c r="I186" s="1"/>
      <c r="J186" s="1"/>
    </row>
    <row r="187" spans="1:10" x14ac:dyDescent="0.25">
      <c r="A187" s="1" t="str">
        <f>IF(receta!A187="","",receta!A187)</f>
        <v/>
      </c>
      <c r="B187" s="1"/>
      <c r="C187" s="4"/>
      <c r="D187" s="4"/>
      <c r="E187" s="1"/>
      <c r="F187" s="1"/>
      <c r="G187" s="1"/>
      <c r="H187" s="5"/>
      <c r="I187" s="1"/>
      <c r="J187" s="1"/>
    </row>
    <row r="188" spans="1:10" x14ac:dyDescent="0.25">
      <c r="A188" s="1" t="str">
        <f>IF(receta!A188="","",receta!A188)</f>
        <v/>
      </c>
      <c r="B188" s="1"/>
      <c r="C188" s="4"/>
      <c r="D188" s="4"/>
      <c r="E188" s="1"/>
      <c r="F188" s="1"/>
      <c r="G188" s="1"/>
      <c r="H188" s="5"/>
      <c r="I188" s="1"/>
      <c r="J188" s="1"/>
    </row>
    <row r="189" spans="1:10" x14ac:dyDescent="0.25">
      <c r="A189" s="1" t="str">
        <f>IF(receta!A189="","",receta!A189)</f>
        <v/>
      </c>
      <c r="B189" s="1"/>
      <c r="C189" s="4"/>
      <c r="D189" s="4"/>
      <c r="E189" s="1"/>
      <c r="F189" s="1"/>
      <c r="G189" s="1"/>
      <c r="H189" s="5"/>
      <c r="I189" s="1"/>
      <c r="J189" s="1"/>
    </row>
    <row r="190" spans="1:10" x14ac:dyDescent="0.25">
      <c r="A190" s="1" t="str">
        <f>IF(receta!A190="","",receta!A190)</f>
        <v/>
      </c>
      <c r="B190" s="1"/>
      <c r="C190" s="4"/>
      <c r="D190" s="4"/>
      <c r="E190" s="1"/>
      <c r="F190" s="1"/>
      <c r="G190" s="1"/>
      <c r="H190" s="5"/>
      <c r="I190" s="1"/>
      <c r="J190" s="1"/>
    </row>
    <row r="191" spans="1:10" x14ac:dyDescent="0.25">
      <c r="A191" s="1" t="str">
        <f>IF(receta!A191="","",receta!A191)</f>
        <v/>
      </c>
      <c r="B191" s="1"/>
      <c r="C191" s="4"/>
      <c r="D191" s="4"/>
      <c r="E191" s="1"/>
      <c r="F191" s="1"/>
      <c r="G191" s="1"/>
      <c r="H191" s="5"/>
      <c r="I191" s="1"/>
      <c r="J191" s="1"/>
    </row>
    <row r="192" spans="1:10" x14ac:dyDescent="0.25">
      <c r="A192" s="1" t="str">
        <f>IF(receta!A192="","",receta!A192)</f>
        <v/>
      </c>
      <c r="B192" s="1"/>
      <c r="C192" s="4"/>
      <c r="D192" s="4"/>
      <c r="E192" s="1"/>
      <c r="F192" s="1"/>
      <c r="G192" s="1"/>
      <c r="H192" s="5"/>
      <c r="I192" s="1"/>
      <c r="J192" s="1"/>
    </row>
    <row r="193" spans="1:10" x14ac:dyDescent="0.25">
      <c r="A193" s="1" t="str">
        <f>IF(receta!A193="","",receta!A193)</f>
        <v/>
      </c>
      <c r="B193" s="1"/>
      <c r="C193" s="4"/>
      <c r="D193" s="4"/>
      <c r="E193" s="1"/>
      <c r="F193" s="1"/>
      <c r="G193" s="1"/>
      <c r="H193" s="5"/>
      <c r="I193" s="1"/>
      <c r="J193" s="1"/>
    </row>
    <row r="194" spans="1:10" x14ac:dyDescent="0.25">
      <c r="A194" s="1" t="str">
        <f>IF(receta!A194="","",receta!A194)</f>
        <v/>
      </c>
      <c r="B194" s="1"/>
      <c r="C194" s="4"/>
      <c r="D194" s="4"/>
      <c r="E194" s="1"/>
      <c r="F194" s="1"/>
      <c r="G194" s="1"/>
      <c r="H194" s="5"/>
      <c r="I194" s="1"/>
      <c r="J194" s="1"/>
    </row>
    <row r="195" spans="1:10" x14ac:dyDescent="0.25">
      <c r="A195" s="1" t="str">
        <f>IF(receta!A195="","",receta!A195)</f>
        <v/>
      </c>
      <c r="B195" s="1"/>
      <c r="C195" s="4"/>
      <c r="D195" s="4"/>
      <c r="E195" s="1"/>
      <c r="F195" s="1"/>
      <c r="G195" s="1"/>
      <c r="H195" s="5"/>
      <c r="I195" s="1"/>
      <c r="J195" s="1"/>
    </row>
    <row r="196" spans="1:10" x14ac:dyDescent="0.25">
      <c r="A196" s="1" t="str">
        <f>IF(receta!A196="","",receta!A196)</f>
        <v/>
      </c>
      <c r="B196" s="1"/>
      <c r="C196" s="4"/>
      <c r="D196" s="4"/>
      <c r="E196" s="1"/>
      <c r="F196" s="1"/>
      <c r="G196" s="1"/>
      <c r="H196" s="5"/>
      <c r="I196" s="1"/>
      <c r="J196" s="1"/>
    </row>
    <row r="197" spans="1:10" x14ac:dyDescent="0.25">
      <c r="A197" s="1" t="str">
        <f>IF(receta!A197="","",receta!A197)</f>
        <v/>
      </c>
      <c r="B197" s="1"/>
      <c r="C197" s="4"/>
      <c r="D197" s="4"/>
      <c r="E197" s="1"/>
      <c r="F197" s="1"/>
      <c r="G197" s="1"/>
      <c r="H197" s="5"/>
      <c r="I197" s="1"/>
      <c r="J197" s="1"/>
    </row>
    <row r="198" spans="1:10" x14ac:dyDescent="0.25">
      <c r="A198" s="1" t="str">
        <f>IF(receta!A198="","",receta!A198)</f>
        <v/>
      </c>
      <c r="B198" s="1"/>
      <c r="C198" s="4"/>
      <c r="D198" s="4"/>
      <c r="E198" s="1"/>
      <c r="F198" s="1"/>
      <c r="G198" s="1"/>
      <c r="H198" s="5"/>
      <c r="I198" s="1"/>
      <c r="J198" s="1"/>
    </row>
    <row r="199" spans="1:10" x14ac:dyDescent="0.25">
      <c r="A199" s="1" t="str">
        <f>IF(receta!A199="","",receta!A199)</f>
        <v/>
      </c>
      <c r="B199" s="1"/>
      <c r="C199" s="4"/>
      <c r="D199" s="4"/>
      <c r="E199" s="1"/>
      <c r="F199" s="1"/>
      <c r="G199" s="1"/>
      <c r="H199" s="5"/>
      <c r="I199" s="1"/>
      <c r="J199" s="1"/>
    </row>
    <row r="200" spans="1:10" x14ac:dyDescent="0.25">
      <c r="A200" s="1" t="str">
        <f>IF(receta!A200="","",receta!A200)</f>
        <v/>
      </c>
      <c r="B200" s="1"/>
      <c r="C200" s="4"/>
      <c r="D200" s="4"/>
      <c r="E200" s="1"/>
      <c r="F200" s="1"/>
      <c r="G200" s="1"/>
      <c r="H200" s="5"/>
      <c r="I200" s="1"/>
      <c r="J200" s="1"/>
    </row>
    <row r="201" spans="1:10" x14ac:dyDescent="0.25">
      <c r="A201" s="1" t="str">
        <f>IF(receta!A201="","",receta!A201)</f>
        <v/>
      </c>
      <c r="B201" s="1"/>
      <c r="C201" s="4"/>
      <c r="D201" s="4"/>
      <c r="E201" s="1"/>
      <c r="F201" s="1"/>
      <c r="G201" s="1"/>
      <c r="H201" s="5"/>
      <c r="I201" s="1"/>
      <c r="J201" s="1"/>
    </row>
    <row r="202" spans="1:10" x14ac:dyDescent="0.25">
      <c r="A202" s="1" t="str">
        <f>IF(receta!A202="","",receta!A202)</f>
        <v/>
      </c>
      <c r="B202" s="1"/>
      <c r="C202" s="4"/>
      <c r="D202" s="4"/>
      <c r="E202" s="1"/>
      <c r="F202" s="1"/>
      <c r="G202" s="1"/>
      <c r="H202" s="5"/>
      <c r="I202" s="1"/>
      <c r="J202" s="1"/>
    </row>
    <row r="203" spans="1:10" x14ac:dyDescent="0.25">
      <c r="A203" s="1" t="str">
        <f>IF(receta!A203="","",receta!A203)</f>
        <v/>
      </c>
      <c r="B203" s="1"/>
      <c r="C203" s="4"/>
      <c r="D203" s="4"/>
      <c r="E203" s="1"/>
      <c r="F203" s="1"/>
      <c r="G203" s="1"/>
      <c r="H203" s="5"/>
      <c r="I203" s="1"/>
      <c r="J203" s="1"/>
    </row>
    <row r="204" spans="1:10" x14ac:dyDescent="0.25">
      <c r="A204" s="1" t="str">
        <f>IF(receta!A204="","",receta!A204)</f>
        <v/>
      </c>
      <c r="B204" s="1"/>
      <c r="C204" s="4"/>
      <c r="D204" s="4"/>
      <c r="E204" s="1"/>
      <c r="F204" s="1"/>
      <c r="G204" s="1"/>
      <c r="H204" s="5"/>
      <c r="I204" s="1"/>
      <c r="J204" s="1"/>
    </row>
    <row r="205" spans="1:10" x14ac:dyDescent="0.25">
      <c r="A205" s="1" t="str">
        <f>IF(receta!A205="","",receta!A205)</f>
        <v/>
      </c>
      <c r="B205" s="1"/>
      <c r="C205" s="4"/>
      <c r="D205" s="4"/>
      <c r="E205" s="1"/>
      <c r="F205" s="1"/>
      <c r="G205" s="1"/>
      <c r="H205" s="5"/>
      <c r="I205" s="1"/>
      <c r="J205" s="1"/>
    </row>
    <row r="206" spans="1:10" x14ac:dyDescent="0.25">
      <c r="A206" s="1" t="str">
        <f>IF(receta!A206="","",receta!A206)</f>
        <v/>
      </c>
      <c r="B206" s="1"/>
      <c r="C206" s="4"/>
      <c r="D206" s="4"/>
      <c r="E206" s="1"/>
      <c r="F206" s="1"/>
      <c r="G206" s="1"/>
      <c r="H206" s="5"/>
      <c r="I206" s="1"/>
      <c r="J206" s="1"/>
    </row>
    <row r="207" spans="1:10" x14ac:dyDescent="0.25">
      <c r="A207" s="1" t="str">
        <f>IF(receta!A207="","",receta!A207)</f>
        <v/>
      </c>
      <c r="B207" s="1"/>
      <c r="C207" s="4"/>
      <c r="D207" s="4"/>
      <c r="E207" s="1"/>
      <c r="F207" s="1"/>
      <c r="G207" s="1"/>
      <c r="H207" s="5"/>
      <c r="I207" s="1"/>
      <c r="J207" s="1"/>
    </row>
    <row r="208" spans="1:10" x14ac:dyDescent="0.25">
      <c r="A208" s="1" t="str">
        <f>IF(receta!A208="","",receta!A208)</f>
        <v/>
      </c>
      <c r="B208" s="1"/>
      <c r="C208" s="4"/>
      <c r="D208" s="4"/>
      <c r="E208" s="1"/>
      <c r="F208" s="1"/>
      <c r="G208" s="1"/>
      <c r="H208" s="5"/>
      <c r="I208" s="1"/>
      <c r="J208" s="1"/>
    </row>
    <row r="209" spans="1:10" x14ac:dyDescent="0.25">
      <c r="A209" s="1" t="str">
        <f>IF(receta!A209="","",receta!A209)</f>
        <v/>
      </c>
      <c r="B209" s="1"/>
      <c r="C209" s="4"/>
      <c r="D209" s="4"/>
      <c r="E209" s="1"/>
      <c r="F209" s="1"/>
      <c r="G209" s="1"/>
      <c r="H209" s="5"/>
      <c r="I209" s="1"/>
      <c r="J209" s="1"/>
    </row>
    <row r="210" spans="1:10" x14ac:dyDescent="0.25">
      <c r="A210" s="1" t="str">
        <f>IF(receta!A210="","",receta!A210)</f>
        <v/>
      </c>
      <c r="B210" s="1"/>
      <c r="C210" s="4"/>
      <c r="D210" s="4"/>
      <c r="E210" s="1"/>
      <c r="F210" s="1"/>
      <c r="G210" s="1"/>
      <c r="H210" s="5"/>
      <c r="I210" s="1"/>
      <c r="J210" s="1"/>
    </row>
    <row r="211" spans="1:10" x14ac:dyDescent="0.25">
      <c r="A211" s="1" t="str">
        <f>IF(receta!A211="","",receta!A211)</f>
        <v/>
      </c>
      <c r="B211" s="1"/>
      <c r="C211" s="4"/>
      <c r="D211" s="4"/>
      <c r="E211" s="1"/>
      <c r="F211" s="1"/>
      <c r="G211" s="1"/>
      <c r="H211" s="5"/>
      <c r="I211" s="1"/>
      <c r="J211" s="1"/>
    </row>
    <row r="212" spans="1:10" x14ac:dyDescent="0.25">
      <c r="A212" s="1" t="str">
        <f>IF(receta!A212="","",receta!A212)</f>
        <v/>
      </c>
      <c r="B212" s="1"/>
      <c r="C212" s="4"/>
      <c r="D212" s="4"/>
      <c r="E212" s="1"/>
      <c r="F212" s="1"/>
      <c r="G212" s="1"/>
      <c r="H212" s="5"/>
      <c r="I212" s="1"/>
      <c r="J212" s="1"/>
    </row>
    <row r="213" spans="1:10" x14ac:dyDescent="0.25">
      <c r="A213" s="1" t="str">
        <f>IF(receta!A213="","",receta!A213)</f>
        <v/>
      </c>
      <c r="B213" s="1"/>
      <c r="C213" s="4"/>
      <c r="D213" s="4"/>
      <c r="E213" s="1"/>
      <c r="F213" s="1"/>
      <c r="G213" s="1"/>
      <c r="H213" s="5"/>
      <c r="I213" s="1"/>
      <c r="J213" s="1"/>
    </row>
    <row r="214" spans="1:10" x14ac:dyDescent="0.25">
      <c r="A214" s="1" t="str">
        <f>IF(receta!A214="","",receta!A214)</f>
        <v/>
      </c>
      <c r="B214" s="1"/>
      <c r="C214" s="4"/>
      <c r="D214" s="4"/>
      <c r="E214" s="1"/>
      <c r="F214" s="1"/>
      <c r="G214" s="1"/>
      <c r="H214" s="5"/>
      <c r="I214" s="1"/>
      <c r="J214" s="1"/>
    </row>
    <row r="215" spans="1:10" x14ac:dyDescent="0.25">
      <c r="A215" s="1" t="str">
        <f>IF(receta!A215="","",receta!A215)</f>
        <v/>
      </c>
      <c r="B215" s="1"/>
      <c r="C215" s="4"/>
      <c r="D215" s="4"/>
      <c r="E215" s="1"/>
      <c r="F215" s="1"/>
      <c r="G215" s="1"/>
      <c r="H215" s="5"/>
      <c r="I215" s="1"/>
      <c r="J215" s="1"/>
    </row>
    <row r="216" spans="1:10" x14ac:dyDescent="0.25">
      <c r="A216" s="1" t="str">
        <f>IF(receta!A216="","",receta!A216)</f>
        <v/>
      </c>
      <c r="B216" s="1"/>
      <c r="C216" s="4"/>
      <c r="D216" s="4"/>
      <c r="E216" s="1"/>
      <c r="F216" s="1"/>
      <c r="G216" s="1"/>
      <c r="H216" s="5"/>
      <c r="I216" s="1"/>
      <c r="J216" s="1"/>
    </row>
    <row r="217" spans="1:10" x14ac:dyDescent="0.25">
      <c r="A217" s="1" t="str">
        <f>IF(receta!A217="","",receta!A217)</f>
        <v/>
      </c>
      <c r="B217" s="1"/>
      <c r="C217" s="4"/>
      <c r="D217" s="4"/>
      <c r="E217" s="1"/>
      <c r="F217" s="1"/>
      <c r="G217" s="1"/>
      <c r="H217" s="5"/>
      <c r="I217" s="1"/>
      <c r="J217" s="1"/>
    </row>
    <row r="218" spans="1:10" x14ac:dyDescent="0.25">
      <c r="A218" s="1" t="str">
        <f>IF(receta!A218="","",receta!A218)</f>
        <v/>
      </c>
      <c r="B218" s="1"/>
      <c r="C218" s="4"/>
      <c r="D218" s="4"/>
      <c r="E218" s="1"/>
      <c r="F218" s="1"/>
      <c r="G218" s="1"/>
      <c r="H218" s="5"/>
      <c r="I218" s="1"/>
      <c r="J218" s="1"/>
    </row>
    <row r="219" spans="1:10" x14ac:dyDescent="0.25">
      <c r="A219" s="1" t="str">
        <f>IF(receta!A219="","",receta!A219)</f>
        <v/>
      </c>
      <c r="B219" s="1"/>
      <c r="C219" s="4"/>
      <c r="D219" s="4"/>
      <c r="E219" s="1"/>
      <c r="F219" s="1"/>
      <c r="G219" s="1"/>
      <c r="H219" s="5"/>
      <c r="I219" s="1"/>
      <c r="J219" s="1"/>
    </row>
    <row r="220" spans="1:10" x14ac:dyDescent="0.25">
      <c r="A220" s="1" t="str">
        <f>IF(receta!A220="","",receta!A220)</f>
        <v/>
      </c>
      <c r="B220" s="1"/>
      <c r="C220" s="4"/>
      <c r="D220" s="4"/>
      <c r="E220" s="1"/>
      <c r="F220" s="1"/>
      <c r="G220" s="1"/>
      <c r="H220" s="5"/>
      <c r="I220" s="1"/>
      <c r="J220" s="1"/>
    </row>
    <row r="221" spans="1:10" x14ac:dyDescent="0.25">
      <c r="A221" s="1" t="str">
        <f>IF(receta!A221="","",receta!A221)</f>
        <v/>
      </c>
      <c r="B221" s="1"/>
      <c r="C221" s="4"/>
      <c r="D221" s="4"/>
      <c r="E221" s="1"/>
      <c r="F221" s="1"/>
      <c r="G221" s="1"/>
      <c r="H221" s="5"/>
      <c r="I221" s="1"/>
      <c r="J221" s="1"/>
    </row>
    <row r="222" spans="1:10" x14ac:dyDescent="0.25">
      <c r="A222" s="1" t="str">
        <f>IF(receta!A222="","",receta!A222)</f>
        <v/>
      </c>
      <c r="B222" s="1"/>
      <c r="C222" s="4"/>
      <c r="D222" s="4"/>
      <c r="E222" s="1"/>
      <c r="F222" s="1"/>
      <c r="G222" s="1"/>
      <c r="H222" s="5"/>
      <c r="I222" s="1"/>
      <c r="J222" s="1"/>
    </row>
    <row r="223" spans="1:10" x14ac:dyDescent="0.25">
      <c r="A223" s="1" t="str">
        <f>IF(receta!A223="","",receta!A223)</f>
        <v/>
      </c>
      <c r="B223" s="1"/>
      <c r="C223" s="4"/>
      <c r="D223" s="4"/>
      <c r="E223" s="1"/>
      <c r="F223" s="1"/>
      <c r="G223" s="1"/>
      <c r="H223" s="5"/>
      <c r="I223" s="1"/>
      <c r="J223" s="1"/>
    </row>
    <row r="224" spans="1:10" x14ac:dyDescent="0.25">
      <c r="A224" s="1" t="str">
        <f>IF(receta!A224="","",receta!A224)</f>
        <v/>
      </c>
      <c r="B224" s="1"/>
      <c r="C224" s="4"/>
      <c r="D224" s="4"/>
      <c r="E224" s="1"/>
      <c r="F224" s="1"/>
      <c r="G224" s="1"/>
      <c r="H224" s="5"/>
      <c r="I224" s="1"/>
      <c r="J224" s="1"/>
    </row>
    <row r="225" spans="1:10" x14ac:dyDescent="0.25">
      <c r="A225" s="1" t="str">
        <f>IF(receta!A225="","",receta!A225)</f>
        <v/>
      </c>
      <c r="B225" s="1"/>
      <c r="C225" s="4"/>
      <c r="D225" s="4"/>
      <c r="E225" s="1"/>
      <c r="F225" s="1"/>
      <c r="G225" s="1"/>
      <c r="H225" s="5"/>
      <c r="I225" s="1"/>
      <c r="J225" s="1"/>
    </row>
    <row r="226" spans="1:10" x14ac:dyDescent="0.25">
      <c r="A226" s="1" t="str">
        <f>IF(receta!A226="","",receta!A226)</f>
        <v/>
      </c>
      <c r="B226" s="1"/>
      <c r="C226" s="4"/>
      <c r="D226" s="4"/>
      <c r="E226" s="1"/>
      <c r="F226" s="1"/>
      <c r="G226" s="1"/>
      <c r="H226" s="5"/>
      <c r="I226" s="1"/>
      <c r="J226" s="1"/>
    </row>
    <row r="227" spans="1:10" x14ac:dyDescent="0.25">
      <c r="A227" s="1" t="str">
        <f>IF(receta!A227="","",receta!A227)</f>
        <v/>
      </c>
      <c r="B227" s="1"/>
      <c r="C227" s="4"/>
      <c r="D227" s="4"/>
      <c r="E227" s="1"/>
      <c r="F227" s="1"/>
      <c r="G227" s="1"/>
      <c r="H227" s="5"/>
      <c r="I227" s="1"/>
      <c r="J227" s="1"/>
    </row>
    <row r="228" spans="1:10" x14ac:dyDescent="0.25">
      <c r="A228" s="1" t="str">
        <f>IF(receta!A228="","",receta!A228)</f>
        <v/>
      </c>
      <c r="B228" s="1"/>
      <c r="C228" s="4"/>
      <c r="D228" s="4"/>
      <c r="E228" s="1"/>
      <c r="F228" s="1"/>
      <c r="G228" s="1"/>
      <c r="H228" s="5"/>
      <c r="I228" s="1"/>
      <c r="J228" s="1"/>
    </row>
    <row r="229" spans="1:10" x14ac:dyDescent="0.25">
      <c r="A229" s="1" t="str">
        <f>IF(receta!A229="","",receta!A229)</f>
        <v/>
      </c>
      <c r="B229" s="1"/>
      <c r="C229" s="4"/>
      <c r="D229" s="4"/>
      <c r="E229" s="1"/>
      <c r="F229" s="1"/>
      <c r="G229" s="1"/>
      <c r="H229" s="5"/>
      <c r="I229" s="1"/>
      <c r="J229" s="1"/>
    </row>
    <row r="230" spans="1:10" x14ac:dyDescent="0.25">
      <c r="A230" s="1" t="str">
        <f>IF(receta!A230="","",receta!A230)</f>
        <v/>
      </c>
      <c r="B230" s="1"/>
      <c r="C230" s="4"/>
      <c r="D230" s="4"/>
      <c r="E230" s="1"/>
      <c r="F230" s="1"/>
      <c r="G230" s="1"/>
      <c r="H230" s="5"/>
      <c r="I230" s="1"/>
      <c r="J230" s="1"/>
    </row>
    <row r="231" spans="1:10" x14ac:dyDescent="0.25">
      <c r="A231" s="1" t="str">
        <f>IF(receta!A231="","",receta!A231)</f>
        <v/>
      </c>
      <c r="B231" s="1"/>
      <c r="C231" s="4"/>
      <c r="D231" s="4"/>
      <c r="E231" s="1"/>
      <c r="F231" s="1"/>
      <c r="G231" s="1"/>
      <c r="H231" s="5"/>
      <c r="I231" s="1"/>
      <c r="J231" s="1"/>
    </row>
    <row r="232" spans="1:10" x14ac:dyDescent="0.25">
      <c r="A232" s="1" t="str">
        <f>IF(receta!A232="","",receta!A232)</f>
        <v/>
      </c>
      <c r="B232" s="1"/>
      <c r="C232" s="4"/>
      <c r="D232" s="4"/>
      <c r="E232" s="1"/>
      <c r="F232" s="1"/>
      <c r="G232" s="1"/>
      <c r="H232" s="5"/>
      <c r="I232" s="1"/>
      <c r="J232" s="1"/>
    </row>
    <row r="233" spans="1:10" x14ac:dyDescent="0.25">
      <c r="A233" s="1" t="str">
        <f>IF(receta!A233="","",receta!A233)</f>
        <v/>
      </c>
      <c r="B233" s="1"/>
      <c r="C233" s="4"/>
      <c r="D233" s="4"/>
      <c r="E233" s="1"/>
      <c r="F233" s="1"/>
      <c r="G233" s="1"/>
      <c r="H233" s="5"/>
      <c r="I233" s="1"/>
      <c r="J233" s="1"/>
    </row>
    <row r="234" spans="1:10" x14ac:dyDescent="0.25">
      <c r="A234" s="1" t="str">
        <f>IF(receta!A234="","",receta!A234)</f>
        <v/>
      </c>
      <c r="B234" s="1"/>
      <c r="C234" s="4"/>
      <c r="D234" s="4"/>
      <c r="E234" s="1"/>
      <c r="F234" s="1"/>
      <c r="G234" s="1"/>
      <c r="H234" s="5"/>
      <c r="I234" s="1"/>
      <c r="J234" s="1"/>
    </row>
    <row r="235" spans="1:10" x14ac:dyDescent="0.25">
      <c r="A235" s="1" t="str">
        <f>IF(receta!A235="","",receta!A235)</f>
        <v/>
      </c>
      <c r="B235" s="1"/>
      <c r="C235" s="4"/>
      <c r="D235" s="4"/>
      <c r="E235" s="1"/>
      <c r="F235" s="1"/>
      <c r="G235" s="1"/>
      <c r="H235" s="5"/>
      <c r="I235" s="1"/>
      <c r="J235" s="1"/>
    </row>
    <row r="236" spans="1:10" x14ac:dyDescent="0.25">
      <c r="A236" s="1" t="str">
        <f>IF(receta!A236="","",receta!A236)</f>
        <v/>
      </c>
      <c r="B236" s="1"/>
      <c r="C236" s="4"/>
      <c r="D236" s="4"/>
      <c r="E236" s="1"/>
      <c r="F236" s="1"/>
      <c r="G236" s="1"/>
      <c r="H236" s="5"/>
      <c r="I236" s="1"/>
      <c r="J236" s="1"/>
    </row>
    <row r="237" spans="1:10" x14ac:dyDescent="0.25">
      <c r="A237" s="1" t="str">
        <f>IF(receta!A237="","",receta!A237)</f>
        <v/>
      </c>
      <c r="B237" s="1"/>
      <c r="C237" s="4"/>
      <c r="D237" s="4"/>
      <c r="E237" s="1"/>
      <c r="F237" s="1"/>
      <c r="G237" s="1"/>
      <c r="H237" s="5"/>
      <c r="I237" s="1"/>
      <c r="J237" s="1"/>
    </row>
    <row r="238" spans="1:10" x14ac:dyDescent="0.25">
      <c r="A238" s="1" t="str">
        <f>IF(receta!A238="","",receta!A238)</f>
        <v/>
      </c>
      <c r="B238" s="1"/>
      <c r="C238" s="4"/>
      <c r="D238" s="4"/>
      <c r="E238" s="1"/>
      <c r="F238" s="1"/>
      <c r="G238" s="1"/>
      <c r="H238" s="5"/>
      <c r="I238" s="1"/>
      <c r="J238" s="1"/>
    </row>
    <row r="239" spans="1:10" x14ac:dyDescent="0.25">
      <c r="A239" s="1" t="str">
        <f>IF(receta!A239="","",receta!A239)</f>
        <v/>
      </c>
      <c r="B239" s="1"/>
      <c r="C239" s="4"/>
      <c r="D239" s="4"/>
      <c r="E239" s="1"/>
      <c r="F239" s="1"/>
      <c r="G239" s="1"/>
      <c r="H239" s="5"/>
      <c r="I239" s="1"/>
      <c r="J239" s="1"/>
    </row>
    <row r="240" spans="1:10" x14ac:dyDescent="0.25">
      <c r="A240" s="1" t="str">
        <f>IF(receta!A240="","",receta!A240)</f>
        <v/>
      </c>
      <c r="B240" s="1"/>
      <c r="C240" s="4"/>
      <c r="D240" s="4"/>
      <c r="E240" s="1"/>
      <c r="F240" s="1"/>
      <c r="G240" s="1"/>
      <c r="H240" s="5"/>
      <c r="I240" s="1"/>
      <c r="J240" s="1"/>
    </row>
    <row r="241" spans="1:10" x14ac:dyDescent="0.25">
      <c r="A241" s="1" t="str">
        <f>IF(receta!A241="","",receta!A241)</f>
        <v/>
      </c>
      <c r="B241" s="1"/>
      <c r="C241" s="4"/>
      <c r="D241" s="4"/>
      <c r="E241" s="1"/>
      <c r="F241" s="1"/>
      <c r="G241" s="1"/>
      <c r="H241" s="5"/>
      <c r="I241" s="1"/>
      <c r="J241" s="1"/>
    </row>
    <row r="242" spans="1:10" x14ac:dyDescent="0.25">
      <c r="A242" s="1" t="str">
        <f>IF(receta!A242="","",receta!A242)</f>
        <v/>
      </c>
      <c r="B242" s="1"/>
      <c r="C242" s="4"/>
      <c r="D242" s="4"/>
      <c r="E242" s="1"/>
      <c r="F242" s="1"/>
      <c r="G242" s="1"/>
      <c r="H242" s="5"/>
      <c r="I242" s="1"/>
      <c r="J242" s="1"/>
    </row>
    <row r="243" spans="1:10" x14ac:dyDescent="0.25">
      <c r="A243" s="1" t="str">
        <f>IF(receta!A243="","",receta!A243)</f>
        <v/>
      </c>
      <c r="B243" s="1"/>
      <c r="C243" s="4"/>
      <c r="D243" s="4"/>
      <c r="E243" s="1"/>
      <c r="F243" s="1"/>
      <c r="G243" s="1"/>
      <c r="H243" s="5"/>
      <c r="I243" s="1"/>
      <c r="J243" s="1"/>
    </row>
    <row r="244" spans="1:10" x14ac:dyDescent="0.25">
      <c r="A244" s="1" t="str">
        <f>IF(receta!A244="","",receta!A244)</f>
        <v/>
      </c>
      <c r="B244" s="1"/>
      <c r="C244" s="4"/>
      <c r="D244" s="4"/>
      <c r="E244" s="1"/>
      <c r="F244" s="1"/>
      <c r="G244" s="1"/>
      <c r="H244" s="5"/>
      <c r="I244" s="1"/>
      <c r="J244" s="1"/>
    </row>
    <row r="245" spans="1:10" x14ac:dyDescent="0.25">
      <c r="A245" s="1" t="str">
        <f>IF(receta!A245="","",receta!A245)</f>
        <v/>
      </c>
      <c r="B245" s="1"/>
      <c r="C245" s="4"/>
      <c r="D245" s="4"/>
      <c r="E245" s="1"/>
      <c r="F245" s="1"/>
      <c r="G245" s="1"/>
      <c r="H245" s="5"/>
      <c r="I245" s="1"/>
      <c r="J245" s="1"/>
    </row>
    <row r="246" spans="1:10" x14ac:dyDescent="0.25">
      <c r="A246" s="1" t="str">
        <f>IF(receta!A246="","",receta!A246)</f>
        <v/>
      </c>
      <c r="B246" s="1"/>
      <c r="C246" s="4"/>
      <c r="D246" s="4"/>
      <c r="E246" s="1"/>
      <c r="F246" s="1"/>
      <c r="G246" s="1"/>
      <c r="H246" s="5"/>
      <c r="I246" s="1"/>
      <c r="J246" s="1"/>
    </row>
    <row r="247" spans="1:10" x14ac:dyDescent="0.25">
      <c r="A247" s="1" t="str">
        <f>IF(receta!A247="","",receta!A247)</f>
        <v/>
      </c>
      <c r="B247" s="1"/>
      <c r="C247" s="4"/>
      <c r="D247" s="4"/>
      <c r="E247" s="1"/>
      <c r="F247" s="1"/>
      <c r="G247" s="1"/>
      <c r="H247" s="5"/>
      <c r="I247" s="1"/>
      <c r="J247" s="1"/>
    </row>
    <row r="248" spans="1:10" x14ac:dyDescent="0.25">
      <c r="A248" s="1" t="str">
        <f>IF(receta!A248="","",receta!A248)</f>
        <v/>
      </c>
      <c r="B248" s="1"/>
      <c r="C248" s="4"/>
      <c r="D248" s="4"/>
      <c r="E248" s="1"/>
      <c r="F248" s="1"/>
      <c r="G248" s="1"/>
      <c r="H248" s="5"/>
      <c r="I248" s="1"/>
      <c r="J248" s="1"/>
    </row>
    <row r="249" spans="1:10" x14ac:dyDescent="0.25">
      <c r="A249" s="1" t="str">
        <f>IF(receta!A249="","",receta!A249)</f>
        <v/>
      </c>
      <c r="B249" s="1"/>
      <c r="C249" s="4"/>
      <c r="D249" s="4"/>
      <c r="E249" s="1"/>
      <c r="F249" s="1"/>
      <c r="G249" s="1"/>
      <c r="H249" s="5"/>
      <c r="I249" s="1"/>
      <c r="J249" s="1"/>
    </row>
    <row r="250" spans="1:10" x14ac:dyDescent="0.25">
      <c r="A250" s="1" t="str">
        <f>IF(receta!A250="","",receta!A250)</f>
        <v/>
      </c>
      <c r="B250" s="1"/>
      <c r="C250" s="4"/>
      <c r="D250" s="4"/>
      <c r="E250" s="1"/>
      <c r="F250" s="1"/>
      <c r="G250" s="1"/>
      <c r="H250" s="5"/>
      <c r="I250" s="1"/>
      <c r="J250" s="1"/>
    </row>
  </sheetData>
  <autoFilter ref="A1:H250" xr:uid="{43DB3A21-6E97-43C0-9768-D0796C62C1D9}">
    <sortState xmlns:xlrd2="http://schemas.microsoft.com/office/spreadsheetml/2017/richdata2" ref="A2:H150">
      <sortCondition ref="A1:A146"/>
    </sortState>
  </autoFilter>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F72" r:id="rId22" xr:uid="{408DE114-A6F6-4AE8-BD64-6A149DF37C27}"/>
    <hyperlink ref="H87" r:id="rId23" xr:uid="{70752851-D4D1-4DCF-A784-B9D16B8F1106}"/>
    <hyperlink ref="F53" r:id="rId24" xr:uid="{FA713CE0-2518-480D-B68E-5A2C0E73A2D3}"/>
    <hyperlink ref="F40" r:id="rId25" xr:uid="{CB351BCB-22FD-41E4-B165-06D8C42BB045}"/>
    <hyperlink ref="F62" r:id="rId26" xr:uid="{10BF7753-E14E-413E-8909-50993D555DCD}"/>
    <hyperlink ref="H63" r:id="rId27" xr:uid="{42834E67-7A35-4EA1-AD87-66249C0E7460}"/>
    <hyperlink ref="F59" r:id="rId28" xr:uid="{4F9542BD-7BD3-436E-8F7D-8129456254A0}"/>
    <hyperlink ref="H17" r:id="rId29" xr:uid="{6B30F263-7BC5-45CD-813B-273E951F9DD5}"/>
    <hyperlink ref="H28" r:id="rId30" xr:uid="{3C78B1C2-904E-4657-BDF8-8F9F51757BD2}"/>
    <hyperlink ref="H43" r:id="rId31" xr:uid="{97B90A8F-880F-476C-AE70-F5520CEE28BE}"/>
    <hyperlink ref="H50" r:id="rId32" xr:uid="{505C68DA-9360-425D-A4C6-00CCBD9804FE}"/>
    <hyperlink ref="H123" r:id="rId33" xr:uid="{177A866F-431B-4D06-912E-758AA32E2DBB}"/>
    <hyperlink ref="H119" r:id="rId34" xr:uid="{2CC1FD11-45F7-4E90-8180-4808569A466E}"/>
    <hyperlink ref="H72" r:id="rId35" xr:uid="{716EB464-A291-40E8-95EF-4C1BEB94A9E9}"/>
    <hyperlink ref="F117" r:id="rId36" xr:uid="{6A2CA4F1-AB09-430D-9DDC-D0B22E47A043}"/>
    <hyperlink ref="F140" r:id="rId37" xr:uid="{ACB1AE2E-AD8F-44A3-9167-37C0CFC2B153}"/>
    <hyperlink ref="F71" r:id="rId38" xr:uid="{A0310311-45B1-42AB-B4D5-454C1A2F857A}"/>
    <hyperlink ref="F104" r:id="rId39" xr:uid="{5F1FE064-20CD-4CD0-BFCD-2A29DCE05378}"/>
    <hyperlink ref="F50" r:id="rId40" xr:uid="{B9029BDE-2CF2-4C7F-8412-0C40AE11F68F}"/>
    <hyperlink ref="F112" r:id="rId41" xr:uid="{9D0D4CC8-CC22-44E2-B264-DD6DC0AAB856}"/>
    <hyperlink ref="F118" r:id="rId42" xr:uid="{D0F5E38C-8D61-4A45-9420-0674EA07BF30}"/>
    <hyperlink ref="F38" r:id="rId43" xr:uid="{262EA65B-7E4E-40E7-83C0-33F10D141492}"/>
    <hyperlink ref="H108" r:id="rId44" xr:uid="{D354F0C5-47C3-4AC8-89C3-72A923D81147}"/>
    <hyperlink ref="F143" r:id="rId45" xr:uid="{F8159653-E06F-48AC-B06F-F96FF8FAC6FB}"/>
    <hyperlink ref="F22" r:id="rId46" xr:uid="{D5C24302-111F-4DD4-B671-45B434C1F272}"/>
    <hyperlink ref="F37" r:id="rId47" xr:uid="{BC8299D9-94A5-4297-8A97-2305D757D1DF}"/>
    <hyperlink ref="F110" r:id="rId48" xr:uid="{D9F12F69-7825-432C-8F17-8179F5ACB838}"/>
    <hyperlink ref="F90" r:id="rId49" xr:uid="{05CA1CBC-8ECD-4A48-9B49-7B0A090F5B0A}"/>
    <hyperlink ref="F48" r:id="rId50" xr:uid="{5B202746-9CD3-4DEA-86F6-B02FBFECC9BD}"/>
    <hyperlink ref="F141" r:id="rId51" xr:uid="{75E0E620-EEE7-456F-8B1D-E144584094F6}"/>
    <hyperlink ref="F91" r:id="rId52" xr:uid="{FAD199C6-5901-4269-B73C-7936FE7D51A0}"/>
    <hyperlink ref="F148" r:id="rId53" xr:uid="{A5AAC270-3690-4B95-8FC8-A8FD0A109532}"/>
    <hyperlink ref="F32" r:id="rId54" xr:uid="{04E04D75-704C-4FE6-A3DA-E28677DD7E74}"/>
    <hyperlink ref="F147" r:id="rId55" xr:uid="{DEED7687-3797-41E5-8622-295B72CFDA25}"/>
    <hyperlink ref="H74" r:id="rId56" xr:uid="{92BCF14D-68BF-4577-A968-400B7094B7EC}"/>
    <hyperlink ref="F49" r:id="rId57" xr:uid="{2147548B-F6F7-4EB8-9101-1DF8578426C8}"/>
  </hyperlinks>
  <pageMargins left="0.7" right="0.7" top="0.75" bottom="0.75" header="0.3" footer="0.3"/>
  <pageSetup orientation="portrait" r:id="rId5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8"/>
  <sheetViews>
    <sheetView workbookViewId="0">
      <selection activeCell="C8" sqref="C8"/>
    </sheetView>
  </sheetViews>
  <sheetFormatPr baseColWidth="10" defaultRowHeight="15" x14ac:dyDescent="0.25"/>
  <cols>
    <col min="1" max="1" width="18.28515625" bestFit="1" customWidth="1"/>
    <col min="2" max="2" width="17" bestFit="1" customWidth="1"/>
  </cols>
  <sheetData>
    <row r="1" spans="1:3" x14ac:dyDescent="0.25">
      <c r="A1" t="s">
        <v>61</v>
      </c>
      <c r="B1" t="s">
        <v>66</v>
      </c>
      <c r="C1" t="s">
        <v>67</v>
      </c>
    </row>
    <row r="2" spans="1:3" x14ac:dyDescent="0.25">
      <c r="A2" t="s">
        <v>62</v>
      </c>
      <c r="B2" t="s">
        <v>72</v>
      </c>
      <c r="C2" t="s">
        <v>587</v>
      </c>
    </row>
    <row r="3" spans="1:3" x14ac:dyDescent="0.25">
      <c r="A3" t="s">
        <v>68</v>
      </c>
      <c r="B3" t="s">
        <v>73</v>
      </c>
      <c r="C3" t="s">
        <v>208</v>
      </c>
    </row>
    <row r="4" spans="1:3" x14ac:dyDescent="0.25">
      <c r="A4" t="s">
        <v>69</v>
      </c>
      <c r="B4" t="s">
        <v>74</v>
      </c>
      <c r="C4" t="s">
        <v>626</v>
      </c>
    </row>
    <row r="5" spans="1:3" x14ac:dyDescent="0.25">
      <c r="A5" t="s">
        <v>63</v>
      </c>
      <c r="B5" t="s">
        <v>75</v>
      </c>
      <c r="C5" t="s">
        <v>209</v>
      </c>
    </row>
    <row r="6" spans="1:3" x14ac:dyDescent="0.25">
      <c r="A6" t="s">
        <v>70</v>
      </c>
      <c r="B6" t="s">
        <v>76</v>
      </c>
      <c r="C6" t="s">
        <v>746</v>
      </c>
    </row>
    <row r="7" spans="1:3" x14ac:dyDescent="0.25">
      <c r="A7" t="s">
        <v>71</v>
      </c>
      <c r="B7" t="s">
        <v>64</v>
      </c>
      <c r="C7" t="s">
        <v>77</v>
      </c>
    </row>
    <row r="8" spans="1:3" x14ac:dyDescent="0.25">
      <c r="A8" t="s">
        <v>747</v>
      </c>
      <c r="B8" t="s">
        <v>749</v>
      </c>
      <c r="C8" t="s">
        <v>775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152</v>
      </c>
      <c r="B1" s="24" t="s">
        <v>151</v>
      </c>
    </row>
    <row r="2" spans="1:2" ht="75" x14ac:dyDescent="0.25">
      <c r="A2" s="23" t="s">
        <v>121</v>
      </c>
      <c r="B2" s="23" t="s">
        <v>526</v>
      </c>
    </row>
    <row r="3" spans="1:2" ht="90" x14ac:dyDescent="0.25">
      <c r="A3" s="23" t="s">
        <v>122</v>
      </c>
      <c r="B3" s="23" t="s">
        <v>527</v>
      </c>
    </row>
    <row r="4" spans="1:2" ht="90" x14ac:dyDescent="0.25">
      <c r="A4" s="23" t="s">
        <v>123</v>
      </c>
      <c r="B4" s="23" t="s">
        <v>528</v>
      </c>
    </row>
    <row r="5" spans="1:2" ht="75" x14ac:dyDescent="0.25">
      <c r="A5" s="23" t="s">
        <v>124</v>
      </c>
      <c r="B5" s="23" t="s">
        <v>529</v>
      </c>
    </row>
    <row r="6" spans="1:2" ht="75" x14ac:dyDescent="0.25">
      <c r="A6" s="23" t="s">
        <v>125</v>
      </c>
      <c r="B6" s="23" t="s">
        <v>530</v>
      </c>
    </row>
    <row r="7" spans="1:2" ht="75" x14ac:dyDescent="0.25">
      <c r="A7" s="23" t="s">
        <v>126</v>
      </c>
      <c r="B7" s="23" t="s">
        <v>531</v>
      </c>
    </row>
    <row r="8" spans="1:2" ht="90" x14ac:dyDescent="0.25">
      <c r="A8" s="23" t="s">
        <v>221</v>
      </c>
      <c r="B8" s="23" t="s">
        <v>532</v>
      </c>
    </row>
    <row r="9" spans="1:2" ht="75" x14ac:dyDescent="0.25">
      <c r="A9" s="23" t="s">
        <v>436</v>
      </c>
      <c r="B9" s="23" t="s">
        <v>788</v>
      </c>
    </row>
    <row r="10" spans="1:2" ht="90" x14ac:dyDescent="0.25">
      <c r="A10" s="23" t="s">
        <v>525</v>
      </c>
      <c r="B10" s="23" t="s">
        <v>533</v>
      </c>
    </row>
    <row r="11" spans="1:2" ht="90" x14ac:dyDescent="0.25">
      <c r="A11" s="23" t="s">
        <v>716</v>
      </c>
      <c r="B11" s="23" t="s">
        <v>717</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2025-10-20T12:55:23Z</dcterms:modified>
</cp:coreProperties>
</file>